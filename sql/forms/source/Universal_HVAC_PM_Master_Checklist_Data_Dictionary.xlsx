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danielstone/Library/CloudStorage/Dropbox/Evolution Maintenance/EvoTrakker/PM Checklist Folder/"/>
    </mc:Choice>
  </mc:AlternateContent>
  <xr:revisionPtr revIDLastSave="0" documentId="8_{FAEA7047-8553-7D40-B116-690C9DCAAF10}" xr6:coauthVersionLast="47" xr6:coauthVersionMax="47" xr10:uidLastSave="{00000000-0000-0000-0000-000000000000}"/>
  <bookViews>
    <workbookView xWindow="34800" yWindow="3380" windowWidth="62040" windowHeight="27900" activeTab="1" xr2:uid="{00000000-000D-0000-FFFF-FFFF00000000}"/>
  </bookViews>
  <sheets>
    <sheet name="Form Blueprint" sheetId="1" r:id="rId1"/>
    <sheet name="Master Data Fields" sheetId="2" r:id="rId2"/>
    <sheet name="PM Tasks" sheetId="3" r:id="rId3"/>
    <sheet name="Photo Requirements" sheetId="4" r:id="rId4"/>
    <sheet name="Customer Exceptions" sheetId="5" r:id="rId5"/>
    <sheet name="Dropdown Lists" sheetId="6" r:id="rId6"/>
    <sheet name="Reference Standard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</calcChain>
</file>

<file path=xl/sharedStrings.xml><?xml version="1.0" encoding="utf-8"?>
<sst xmlns="http://schemas.openxmlformats.org/spreadsheetml/2006/main" count="3883" uniqueCount="1590">
  <si>
    <t>Universal Commercial HVAC PM Form - Recommended Structure</t>
  </si>
  <si>
    <t>Step</t>
  </si>
  <si>
    <t>Form Section</t>
  </si>
  <si>
    <t>Record Level</t>
  </si>
  <si>
    <t>Contents</t>
  </si>
  <si>
    <t>Design Notes</t>
  </si>
  <si>
    <t>1</t>
  </si>
  <si>
    <t>Customer Profile / Rules</t>
  </si>
  <si>
    <t>Hidden configuration selected by customer or call center</t>
  </si>
  <si>
    <t>Required setpoints, seasonal scope, photo rules, timestamp requirement, anti-algae requirement, signature/site stamp, submission deadline, IVR instructions, NTE/quote rules</t>
  </si>
  <si>
    <t>Prevents conflicting customer rules from being hard-coded into one universal form.</t>
  </si>
  <si>
    <t>2</t>
  </si>
  <si>
    <t>Site Visit Header</t>
  </si>
  <si>
    <t>One record per work order/site visit</t>
  </si>
  <si>
    <t>Customer, call center, work order, IVR, site, address, service date, technician, manager, access, PM season, unit count, arrival/departure</t>
  </si>
  <si>
    <t>Complete before the first unit.</t>
  </si>
  <si>
    <t>3</t>
  </si>
  <si>
    <t>Unit Equipment Record</t>
  </si>
  <si>
    <t>Repeat once for every piece of HVAC equipment</t>
  </si>
  <si>
    <t>Unit ID, equipment type, location, area served, manufacturer, model, serial, age, tonnage, heat type, refrigerant, filters, belts, asset condition</t>
  </si>
  <si>
    <t>A separate unit record is required even when multiple units are on one work order.</t>
  </si>
  <si>
    <t>4</t>
  </si>
  <si>
    <t>Core PM Checklist</t>
  </si>
  <si>
    <t>Shown for every unit</t>
  </si>
  <si>
    <t>Cabinet, filters, coils, fans, belts, drains, electrical, controls, thermostat, operation, cleanup</t>
  </si>
  <si>
    <t>Use standardized results: Pass / Needs Service / Failed-Replace / N/A / Not Accessible.</t>
  </si>
  <si>
    <t>5</t>
  </si>
  <si>
    <t>Cooling / Refrigeration Section</t>
  </si>
  <si>
    <t>Conditional</t>
  </si>
  <si>
    <t>Pressures, temperatures, superheat, subcooling, charge, leaks, compressors, condenser fans, line insulation, reversing valve</t>
  </si>
  <si>
    <t>Show when cooling, heat-pump, refrigeration, VRF, or water-source equipment applies.</t>
  </si>
  <si>
    <t>6</t>
  </si>
  <si>
    <t>Heating Section</t>
  </si>
  <si>
    <t>Gas/electric/hydronic heating, gas pressure, burners, ignition, heat exchanger, flue, safety switches, temperature rise</t>
  </si>
  <si>
    <t>Show only the applicable heat type.</t>
  </si>
  <si>
    <t>7</t>
  </si>
  <si>
    <t>Hydronic / Water-Cooled Section</t>
  </si>
  <si>
    <t>Entering/leaving water temperatures, regulating valve, strainers, flow/pressure drop, glycol, freeze protection</t>
  </si>
  <si>
    <t>Show for water-source, chilled-water, hot-water, or water-cooled equipment.</t>
  </si>
  <si>
    <t>8</t>
  </si>
  <si>
    <t>Controls / EMS / Economizer Section</t>
  </si>
  <si>
    <t>Thermostat, remote sensors, programming, schedules, setpoints before/after, DDC/BAS, dampers, economizer, alarms</t>
  </si>
  <si>
    <t>Customer-required setpoints come from the customer profile.</t>
  </si>
  <si>
    <t>9</t>
  </si>
  <si>
    <t>Photos</t>
  </si>
  <si>
    <t>One site package plus repeated unit photo package</t>
  </si>
  <si>
    <t>Building front, unit location, nameplate, exterior, filters, interior, coils, drains, belts, electrical, thermostat, deficiencies, readings, cleanup</t>
  </si>
  <si>
    <t>The form should force photos only when required by customer rules or when a deficiency is found.</t>
  </si>
  <si>
    <t>10</t>
  </si>
  <si>
    <t>Deficiency / Quote Record</t>
  </si>
  <si>
    <t>Repeat for each issue found</t>
  </si>
  <si>
    <t>Unit, component, condition, severity, impact, recommended action, parts, estimated labor, NTE/quote, call-center notification, photos</t>
  </si>
  <si>
    <t>Keeps recommendations specific and quote-ready.</t>
  </si>
  <si>
    <t>11</t>
  </si>
  <si>
    <t>Materials Used</t>
  </si>
  <si>
    <t>Repeat as needed</t>
  </si>
  <si>
    <t>Filters, belts, refrigerant, batteries, anti-algae tablets, fuses, contactors, miscellaneous materials; size/type/quantity</t>
  </si>
  <si>
    <t>Supports invoice validation and replenishment.</t>
  </si>
  <si>
    <t>12</t>
  </si>
  <si>
    <t>Closeout / Signoff</t>
  </si>
  <si>
    <t>One record per visit</t>
  </si>
  <si>
    <t>Full scope completed, unit left operating, manager informed, manager name/signature, technician signature, IVR checkout, documents/photos attached, submission date</t>
  </si>
  <si>
    <t>If work is incomplete, require the reason and call-center notification details.</t>
  </si>
  <si>
    <t>Key Design Decision</t>
  </si>
  <si>
    <t>Build one dynamic form, not one giant static checklist. Select the customer profile, PM season and equipment type first. The form should then display the required tasks, readings, customer-specific setpoints and photos. This resolves conflicts such as Off Broadway requiring 70°F cooling while Rack Room requires 71°F.</t>
  </si>
  <si>
    <t>Workbook Summary</t>
  </si>
  <si>
    <t>Count</t>
  </si>
  <si>
    <t>Master data fields</t>
  </si>
  <si>
    <t>PM tasks / inspections</t>
  </si>
  <si>
    <t>Photo requirements</t>
  </si>
  <si>
    <t>Customer-specific exception rules</t>
  </si>
  <si>
    <t>Definitive Master Data Dictionary</t>
  </si>
  <si>
    <t>Field ID</t>
  </si>
  <si>
    <t>Section</t>
  </si>
  <si>
    <t>Subsection</t>
  </si>
  <si>
    <t>Field / Question</t>
  </si>
  <si>
    <t>Input Type</t>
  </si>
  <si>
    <t>Allowed Values / Format</t>
  </si>
  <si>
    <t>Requirement</t>
  </si>
  <si>
    <t>Trigger / Applies When</t>
  </si>
  <si>
    <t>Source Coverage</t>
  </si>
  <si>
    <t>F001</t>
  </si>
  <si>
    <t>Work Order &amp; Arrival</t>
  </si>
  <si>
    <t>Customer / Client</t>
  </si>
  <si>
    <t>Dropdown</t>
  </si>
  <si>
    <t>Configured customer list</t>
  </si>
  <si>
    <t>Always</t>
  </si>
  <si>
    <t>Every visit</t>
  </si>
  <si>
    <t>No</t>
  </si>
  <si>
    <t>BOSS Facility Services, Broadway National / Primark, CLS Equipment Condition Report, CLS / Under Armour, First Cash, Laser Facility / Kelly Services, Off Broadway Shoe Warehouse, Powerhouse / Hibbett Sports, Rack Room Shoes, Victoria's Secret &amp; Co., Vixxo / PepsiCo</t>
  </si>
  <si>
    <t>F002</t>
  </si>
  <si>
    <t>Call center / facility management provider</t>
  </si>
  <si>
    <t>Dropdown/Text</t>
  </si>
  <si>
    <t>Configured provider list</t>
  </si>
  <si>
    <t>F003</t>
  </si>
  <si>
    <t>Work order number</t>
  </si>
  <si>
    <t>Text</t>
  </si>
  <si>
    <t>Customer WO / vendor WO</t>
  </si>
  <si>
    <t>BOSS Facility Services, Broadway National / Primark, CLS / Under Armour, Laser Facility / Kelly Services, Powerhouse / Hibbett Sports</t>
  </si>
  <si>
    <t>F004</t>
  </si>
  <si>
    <t>IVR PIN / check-in number</t>
  </si>
  <si>
    <t>Digits/text</t>
  </si>
  <si>
    <t>Customer uses IVR</t>
  </si>
  <si>
    <t>BOSS Facility Services, Laser Facility / Kelly Services</t>
  </si>
  <si>
    <t>F005</t>
  </si>
  <si>
    <t>IVR check-in time / confirmation</t>
  </si>
  <si>
    <t>Date-Time/Text</t>
  </si>
  <si>
    <t>Timestamp and confirmation number</t>
  </si>
  <si>
    <t>Laser Facility / Kelly Services, Powerhouse / Hibbett Sports</t>
  </si>
  <si>
    <t>F006</t>
  </si>
  <si>
    <t>IVR checkout / closeout number</t>
  </si>
  <si>
    <t>Powerhouse / Hibbett Sports, Laser Facility / Kelly Services</t>
  </si>
  <si>
    <t>F007</t>
  </si>
  <si>
    <t>Location / store number</t>
  </si>
  <si>
    <t>Customer location ID</t>
  </si>
  <si>
    <t>F008</t>
  </si>
  <si>
    <t>Site / store name</t>
  </si>
  <si>
    <t>Free text</t>
  </si>
  <si>
    <t>F009</t>
  </si>
  <si>
    <t>Shopping center / mall</t>
  </si>
  <si>
    <t>Retail location or customer requests</t>
  </si>
  <si>
    <t>Victoria's Secret &amp; Co.</t>
  </si>
  <si>
    <t>F010</t>
  </si>
  <si>
    <t>Street address</t>
  </si>
  <si>
    <t>BOSS Facility Services, First Cash</t>
  </si>
  <si>
    <t>F011</t>
  </si>
  <si>
    <t>City</t>
  </si>
  <si>
    <t>F012</t>
  </si>
  <si>
    <t>State</t>
  </si>
  <si>
    <t>2-letter state</t>
  </si>
  <si>
    <t>F013</t>
  </si>
  <si>
    <t>ZIP code</t>
  </si>
  <si>
    <t>5 or 9 digits</t>
  </si>
  <si>
    <t>First Cash</t>
  </si>
  <si>
    <t>F014</t>
  </si>
  <si>
    <t>Service date</t>
  </si>
  <si>
    <t>Date</t>
  </si>
  <si>
    <t>MM/DD/YYYY</t>
  </si>
  <si>
    <t>F015</t>
  </si>
  <si>
    <t>Arrival time</t>
  </si>
  <si>
    <t>Time</t>
  </si>
  <si>
    <t>HH:MM</t>
  </si>
  <si>
    <t>Recommended</t>
  </si>
  <si>
    <t>Industry best-practice addition</t>
  </si>
  <si>
    <t>F016</t>
  </si>
  <si>
    <t>Departure time</t>
  </si>
  <si>
    <t>F017</t>
  </si>
  <si>
    <t>PM season / visit type</t>
  </si>
  <si>
    <t>Spring Cooling; Fall Heating; Full PM; Inspection Only; Filter Change; Other</t>
  </si>
  <si>
    <t>Victoria's Secret &amp; Co., CLS / Under Armour</t>
  </si>
  <si>
    <t>F018</t>
  </si>
  <si>
    <t>Technician name</t>
  </si>
  <si>
    <t>Text/Dropdown</t>
  </si>
  <si>
    <t>Employee list</t>
  </si>
  <si>
    <t>Victoria's Secret &amp; Co., First Cash</t>
  </si>
  <si>
    <t>F019</t>
  </si>
  <si>
    <t>Technician employee ID</t>
  </si>
  <si>
    <t>Employee number</t>
  </si>
  <si>
    <t>F020</t>
  </si>
  <si>
    <t>Submitted by</t>
  </si>
  <si>
    <t>Name</t>
  </si>
  <si>
    <t>Separate submitter required</t>
  </si>
  <si>
    <t>F021</t>
  </si>
  <si>
    <t>Submitter phone</t>
  </si>
  <si>
    <t>Phone</t>
  </si>
  <si>
    <t>Phone number</t>
  </si>
  <si>
    <t>F022</t>
  </si>
  <si>
    <t>Submitter email</t>
  </si>
  <si>
    <t>Email</t>
  </si>
  <si>
    <t>Email address</t>
  </si>
  <si>
    <t>F023</t>
  </si>
  <si>
    <t>Site manager / contact name at arrival</t>
  </si>
  <si>
    <t>Occupied site</t>
  </si>
  <si>
    <t>Laser Facility / Kelly Services</t>
  </si>
  <si>
    <t>F024</t>
  </si>
  <si>
    <t>Manager notified of arrival</t>
  </si>
  <si>
    <t>Yes/No</t>
  </si>
  <si>
    <t>Yes; No; N/A</t>
  </si>
  <si>
    <t>F025</t>
  </si>
  <si>
    <t>Special access requirements</t>
  </si>
  <si>
    <t>Multi-select/Text</t>
  </si>
  <si>
    <t>Roof hatch; Ladder; Lift; Key; Locked area; Escort; Ceiling access; Other</t>
  </si>
  <si>
    <t>Optional</t>
  </si>
  <si>
    <t>F026</t>
  </si>
  <si>
    <t>Unit location description</t>
  </si>
  <si>
    <t>Each unit</t>
  </si>
  <si>
    <t>Access / safety issues found</t>
  </si>
  <si>
    <t>Unsafe roof; No ladder; Locked; Weather; Electrical hazard; Animal/pest; Other</t>
  </si>
  <si>
    <t>Any access problem</t>
  </si>
  <si>
    <t>F028</t>
  </si>
  <si>
    <t>Number of units expected</t>
  </si>
  <si>
    <t>Number</t>
  </si>
  <si>
    <t>Whole number</t>
  </si>
  <si>
    <t>F029</t>
  </si>
  <si>
    <t>Number of units serviced</t>
  </si>
  <si>
    <t>F030</t>
  </si>
  <si>
    <t>Full contracted scope completed</t>
  </si>
  <si>
    <t>Yes; No</t>
  </si>
  <si>
    <t>CLS Equipment Condition Report, CLS / Under Armour</t>
  </si>
  <si>
    <t>F031</t>
  </si>
  <si>
    <t>Reason full scope not completed</t>
  </si>
  <si>
    <t>Long text</t>
  </si>
  <si>
    <t>Full scope = No</t>
  </si>
  <si>
    <t>F032</t>
  </si>
  <si>
    <t>Call center notified about incomplete work</t>
  </si>
  <si>
    <t>F033</t>
  </si>
  <si>
    <t>Notification contact / date / time / confirmation</t>
  </si>
  <si>
    <t>Name, date, time, reference number</t>
  </si>
  <si>
    <t>Call center notified</t>
  </si>
  <si>
    <t>F034</t>
  </si>
  <si>
    <t>Customer-Specific Rules</t>
  </si>
  <si>
    <t>Required cooling setpoint</t>
  </si>
  <si>
    <t>Configured</t>
  </si>
  <si>
    <t>Customer-specific</t>
  </si>
  <si>
    <t>Off Broadway Shoe Warehouse, Rack Room Shoes</t>
  </si>
  <si>
    <t>F035</t>
  </si>
  <si>
    <t>Required heating setpoint</t>
  </si>
  <si>
    <t>F036</t>
  </si>
  <si>
    <t>Required thermostat schedule</t>
  </si>
  <si>
    <t>24/7; Occupied schedule; Customer-specific</t>
  </si>
  <si>
    <t>F037</t>
  </si>
  <si>
    <t>Thermostat lock required</t>
  </si>
  <si>
    <t>F038</t>
  </si>
  <si>
    <t>Anti-algae treatment required</t>
  </si>
  <si>
    <t>F039</t>
  </si>
  <si>
    <t>Photos must be time/date stamped</t>
  </si>
  <si>
    <t>F040</t>
  </si>
  <si>
    <t>Manager must see old filters</t>
  </si>
  <si>
    <t>Rack Room Shoes</t>
  </si>
  <si>
    <t>F041</t>
  </si>
  <si>
    <t>Pricing may be discussed with site staff</t>
  </si>
  <si>
    <t>Laser says detailed findings/pricing should not be given to store personnel.</t>
  </si>
  <si>
    <t>F042</t>
  </si>
  <si>
    <t>Immediate quote required for deficiencies</t>
  </si>
  <si>
    <t>CLS Equipment Condition Report, CLS / Under Armour, Off Broadway Shoe Warehouse, Rack Room Shoes</t>
  </si>
  <si>
    <t>F043</t>
  </si>
  <si>
    <t>Immediate call required if scope cannot be completed</t>
  </si>
  <si>
    <t>F044</t>
  </si>
  <si>
    <t>Submission deadline</t>
  </si>
  <si>
    <t>Text/Number</t>
  </si>
  <si>
    <t>Same day; within 1 week; customer-specific</t>
  </si>
  <si>
    <t>Broadway National / Primark</t>
  </si>
  <si>
    <t>F045</t>
  </si>
  <si>
    <t>Required closeout documents</t>
  </si>
  <si>
    <t>Multi-select</t>
  </si>
  <si>
    <t>Invoice; Signoff; Checklist; Photos; Quote; Site stamp</t>
  </si>
  <si>
    <t>Laser Facility / Kelly Services, Broadway National / Primark, BOSS Facility Services</t>
  </si>
  <si>
    <t>F046</t>
  </si>
  <si>
    <t>Identification &amp; Condition</t>
  </si>
  <si>
    <t>Unit number / ID</t>
  </si>
  <si>
    <t>Customer unit number</t>
  </si>
  <si>
    <t>F047</t>
  </si>
  <si>
    <t>Asset tag / Tag ID</t>
  </si>
  <si>
    <t>Asset identifier</t>
  </si>
  <si>
    <t>Asset-tagged equipment</t>
  </si>
  <si>
    <t>Powerhouse / Hibbett Sports, Victoria's Secret &amp; Co., Vixxo / PepsiCo</t>
  </si>
  <si>
    <t>F048</t>
  </si>
  <si>
    <t>Connected equipment tag / AHU number</t>
  </si>
  <si>
    <t>Related asset ID</t>
  </si>
  <si>
    <t>Split systems or connected assets</t>
  </si>
  <si>
    <t>Powerhouse / Hibbett Sports, Vixxo / PepsiCo</t>
  </si>
  <si>
    <t>F049</t>
  </si>
  <si>
    <t>Equipment type</t>
  </si>
  <si>
    <t>RTU; Split System; AHU; Heat Pump; Water-Source Heat Pump; VAV; FPVAV; Fan Coil; VRF; Exhaust Fan; Refrigeration; Chiller; Boiler; Other</t>
  </si>
  <si>
    <t>Broadway National / Primark, Laser Facility / Kelly Services, Victoria's Secret &amp; Co., CLS Equipment Condition Report</t>
  </si>
  <si>
    <t>F050</t>
  </si>
  <si>
    <t>Asset type / description</t>
  </si>
  <si>
    <t>Powerhouse / Hibbett Sports</t>
  </si>
  <si>
    <t>F051</t>
  </si>
  <si>
    <t>F052</t>
  </si>
  <si>
    <t>Model number</t>
  </si>
  <si>
    <t>F053</t>
  </si>
  <si>
    <t>Serial number</t>
  </si>
  <si>
    <t>F054</t>
  </si>
  <si>
    <t>Manufactured date / year</t>
  </si>
  <si>
    <t>Date/Number</t>
  </si>
  <si>
    <t>YYYY or date</t>
  </si>
  <si>
    <t>BOSS Facility Services, Powerhouse / Hibbett Sports</t>
  </si>
  <si>
    <t>F055</t>
  </si>
  <si>
    <t>Install date</t>
  </si>
  <si>
    <t>Known / customer requests</t>
  </si>
  <si>
    <t>F056</t>
  </si>
  <si>
    <t>Unit age</t>
  </si>
  <si>
    <t>Years</t>
  </si>
  <si>
    <t>Broadway National / Primark, Laser Facility / Kelly Services, Victoria's Secret &amp; Co., Vixxo / PepsiCo</t>
  </si>
  <si>
    <t>F057</t>
  </si>
  <si>
    <t>Tonnage / nominal capacity</t>
  </si>
  <si>
    <t>Number/Text</t>
  </si>
  <si>
    <t>Tons or BTU/h</t>
  </si>
  <si>
    <t>Cooling equipment</t>
  </si>
  <si>
    <t>F058</t>
  </si>
  <si>
    <t>Rated efficiency</t>
  </si>
  <si>
    <t>EER; SEER; IEER; COP; AFUE</t>
  </si>
  <si>
    <t>Nameplate or known</t>
  </si>
  <si>
    <t>Vixxo / PepsiCo</t>
  </si>
  <si>
    <t>F059</t>
  </si>
  <si>
    <t>Heating energy source</t>
  </si>
  <si>
    <t>Gas; Electric; Heat Pump; Hot Water; Steam; Oil; None; Other</t>
  </si>
  <si>
    <t>First Cash, Rack Room Shoes</t>
  </si>
  <si>
    <t>F060</t>
  </si>
  <si>
    <t>Refrigerant type</t>
  </si>
  <si>
    <t>R-22; R-410A; R-407C; R-134a; R-32; R-454B; Other; Unknown</t>
  </si>
  <si>
    <t>Refrigeration equipment</t>
  </si>
  <si>
    <t>CLS / Under Armour, Laser Facility / Kelly Services, Rack Room Shoes</t>
  </si>
  <si>
    <t>F061</t>
  </si>
  <si>
    <t>Area served</t>
  </si>
  <si>
    <t>BOSS Facility Services, Broadway National / Primark, Victoria's Secret &amp; Co.</t>
  </si>
  <si>
    <t>F062</t>
  </si>
  <si>
    <t>Shared unit</t>
  </si>
  <si>
    <t>Yes; No; Unknown</t>
  </si>
  <si>
    <t>Tenant/shared systems</t>
  </si>
  <si>
    <t>F063</t>
  </si>
  <si>
    <t>Air / water supplied by</t>
  </si>
  <si>
    <t>Customer; Mall; Landlord; VSS; Other</t>
  </si>
  <si>
    <t>Mall/tenant systems</t>
  </si>
  <si>
    <t>F064</t>
  </si>
  <si>
    <t>Curb adapter present</t>
  </si>
  <si>
    <t>RTU / customer requests</t>
  </si>
  <si>
    <t>F065</t>
  </si>
  <si>
    <t>Warranty period / status</t>
  </si>
  <si>
    <t>Years / expiration / unknown</t>
  </si>
  <si>
    <t>Known</t>
  </si>
  <si>
    <t>F066</t>
  </si>
  <si>
    <t>Unit life expectancy</t>
  </si>
  <si>
    <t>Estimated remaining years</t>
  </si>
  <si>
    <t>Condition survey</t>
  </si>
  <si>
    <t>F067</t>
  </si>
  <si>
    <t>Overall unit condition</t>
  </si>
  <si>
    <t>Excellent; Good; Fair; Poor; Needs Replacement</t>
  </si>
  <si>
    <t>BOSS Facility Services, CLS Equipment Condition Report, Powerhouse / Hibbett Sports, Rack Room Shoes</t>
  </si>
  <si>
    <t>F068</t>
  </si>
  <si>
    <t>Overall recommendation</t>
  </si>
  <si>
    <t>None; Monitor; Repair; Replace</t>
  </si>
  <si>
    <t>CLS Equipment Condition Report, Vixxo / PepsiCo</t>
  </si>
  <si>
    <t>F069</t>
  </si>
  <si>
    <t>Unit operational at arrival</t>
  </si>
  <si>
    <t>Yes; No; Partially; Unknown</t>
  </si>
  <si>
    <t>F070</t>
  </si>
  <si>
    <t>Unit operational at departure</t>
  </si>
  <si>
    <t>Yes; No; Partially; Shut down for safety</t>
  </si>
  <si>
    <t>F071</t>
  </si>
  <si>
    <t>Filters, Belts, Fans &amp; Airflow</t>
  </si>
  <si>
    <t>Filter size 1</t>
  </si>
  <si>
    <t>Dimensions</t>
  </si>
  <si>
    <t>L x W x D</t>
  </si>
  <si>
    <t>Filtered equipment</t>
  </si>
  <si>
    <t>F072</t>
  </si>
  <si>
    <t>Filter quantity 1</t>
  </si>
  <si>
    <t>F073</t>
  </si>
  <si>
    <t>Filter size 2</t>
  </si>
  <si>
    <t>Multiple filter sizes</t>
  </si>
  <si>
    <t>BOSS Facility Services, CLS Equipment Condition Report</t>
  </si>
  <si>
    <t>F074</t>
  </si>
  <si>
    <t>Filter quantity 2</t>
  </si>
  <si>
    <t>F075</t>
  </si>
  <si>
    <t>Filter type / MERV</t>
  </si>
  <si>
    <t>Pleated; Panel; Bag; HEPA; Washable; Other; MERV rating</t>
  </si>
  <si>
    <t>F076</t>
  </si>
  <si>
    <t>Filters replaced today</t>
  </si>
  <si>
    <t>Yes/No/NA</t>
  </si>
  <si>
    <t>BOSS Facility Services, Broadway National / Primark, CLS / Under Armour, Laser Facility / Kelly Services, Powerhouse / Hibbett Sports, Rack Room Shoes</t>
  </si>
  <si>
    <t>F077</t>
  </si>
  <si>
    <t>Number of filters replaced</t>
  </si>
  <si>
    <t>Filters replaced</t>
  </si>
  <si>
    <t>F078</t>
  </si>
  <si>
    <t>Filters dated</t>
  </si>
  <si>
    <t>CLS / Under Armour, Laser Facility / Kelly Services, Powerhouse / Hibbett Sports</t>
  </si>
  <si>
    <t>F079</t>
  </si>
  <si>
    <t>Filter condition before replacement</t>
  </si>
  <si>
    <t>Clean; Lightly dirty; Dirty; Severely loaded; Damaged; Missing</t>
  </si>
  <si>
    <t>F080</t>
  </si>
  <si>
    <t>Correct filter fit and airflow direction</t>
  </si>
  <si>
    <t>F081</t>
  </si>
  <si>
    <t>Old filters shown to store staff</t>
  </si>
  <si>
    <t>Customer rule requires</t>
  </si>
  <si>
    <t>F082</t>
  </si>
  <si>
    <t>Belt size</t>
  </si>
  <si>
    <t>Manufacturer size / dimensions</t>
  </si>
  <si>
    <t>Belt-driven equipment</t>
  </si>
  <si>
    <t>F083</t>
  </si>
  <si>
    <t>Belt quantity</t>
  </si>
  <si>
    <t>F084</t>
  </si>
  <si>
    <t>Belt condition</t>
  </si>
  <si>
    <t>Good; Worn; Cracked; Glazed; Frayed; Oil-contaminated; Failed</t>
  </si>
  <si>
    <t>CLS / Under Armour, Powerhouse / Hibbett Sports, Rack Room Shoes</t>
  </si>
  <si>
    <t>F085</t>
  </si>
  <si>
    <t>Belt tension</t>
  </si>
  <si>
    <t>Dropdown/Number</t>
  </si>
  <si>
    <t>Good; Loose; Tight; Adjusted; Measured tension</t>
  </si>
  <si>
    <t>F086</t>
  </si>
  <si>
    <t>Belt alignment</t>
  </si>
  <si>
    <t>Aligned; Misaligned; Corrected; N/A</t>
  </si>
  <si>
    <t>CLS / Under Armour</t>
  </si>
  <si>
    <t>F087</t>
  </si>
  <si>
    <t>Pulley / sheave condition</t>
  </si>
  <si>
    <t>Good; Worn; Damaged; Loose; Replace</t>
  </si>
  <si>
    <t>CLS / Under Armour, Rack Room Shoes, Vixxo / PepsiCo</t>
  </si>
  <si>
    <t>F088</t>
  </si>
  <si>
    <t>Pulley / shaft alignment</t>
  </si>
  <si>
    <t>Yes; No; Corrected; N/A</t>
  </si>
  <si>
    <t>F089</t>
  </si>
  <si>
    <t>Blower wheel / fan blade condition</t>
  </si>
  <si>
    <t>Good; Dirty; Damaged; Loose; Out of balance</t>
  </si>
  <si>
    <t>Fan-equipped unit</t>
  </si>
  <si>
    <t>BOSS Facility Services, Powerhouse / Hibbett Sports, Rack Room Shoes, Vixxo / PepsiCo</t>
  </si>
  <si>
    <t>F090</t>
  </si>
  <si>
    <t>Bearing condition / lubrication</t>
  </si>
  <si>
    <t>Good; Dry; Noisy; Loose; Lubricated; Replace</t>
  </si>
  <si>
    <t>Broadway National / Primark, Rack Room Shoes, Vixxo / PepsiCo</t>
  </si>
  <si>
    <t>F091</t>
  </si>
  <si>
    <t>Blower / fan RPM</t>
  </si>
  <si>
    <t>RPM</t>
  </si>
  <si>
    <t>Measured / customer requests</t>
  </si>
  <si>
    <t>F092</t>
  </si>
  <si>
    <t>Supply air temperature</t>
  </si>
  <si>
    <t>°F</t>
  </si>
  <si>
    <t>Unit can run</t>
  </si>
  <si>
    <t>Rack Room Shoes, Vixxo / PepsiCo</t>
  </si>
  <si>
    <t>F093</t>
  </si>
  <si>
    <t>Return air temperature</t>
  </si>
  <si>
    <t>F094</t>
  </si>
  <si>
    <t>Mixed air temperature</t>
  </si>
  <si>
    <t>Economizer/mixing section present</t>
  </si>
  <si>
    <t>F095</t>
  </si>
  <si>
    <t>Cooling temperature split</t>
  </si>
  <si>
    <t>Formula/Number</t>
  </si>
  <si>
    <t>Return minus supply °F</t>
  </si>
  <si>
    <t>Cooling test performed</t>
  </si>
  <si>
    <t>F096</t>
  </si>
  <si>
    <t>Heating temperature rise</t>
  </si>
  <si>
    <t>Supply minus return °F</t>
  </si>
  <si>
    <t>Heating test performed</t>
  </si>
  <si>
    <t>F097</t>
  </si>
  <si>
    <t>Entering static pressure</t>
  </si>
  <si>
    <t>in. w.c.</t>
  </si>
  <si>
    <t>Ducted equipment</t>
  </si>
  <si>
    <t>F098</t>
  </si>
  <si>
    <t>Leaving static pressure</t>
  </si>
  <si>
    <t>F099</t>
  </si>
  <si>
    <t>Total external static pressure</t>
  </si>
  <si>
    <t>Static readings taken</t>
  </si>
  <si>
    <t>F100</t>
  </si>
  <si>
    <t>Airflow / supply grille reading</t>
  </si>
  <si>
    <t>CFM, velocity, or qualitative airflow</t>
  </si>
  <si>
    <t>Customer requests / complaint</t>
  </si>
  <si>
    <t>Off Broadway Shoe Warehouse</t>
  </si>
  <si>
    <t>F101</t>
  </si>
  <si>
    <t>Indoor / store temperature</t>
  </si>
  <si>
    <t>F102</t>
  </si>
  <si>
    <t>Outdoor ambient temperature</t>
  </si>
  <si>
    <t>Performance readings taken</t>
  </si>
  <si>
    <t>BOSS Facility Services, Victoria's Secret &amp; Co., Vixxo / PepsiCo</t>
  </si>
  <si>
    <t>F103</t>
  </si>
  <si>
    <t>Cooling &amp; Refrigeration Readings</t>
  </si>
  <si>
    <t>Number of refrigeration circuits / stages</t>
  </si>
  <si>
    <t>BOSS Facility Services, Victoria's Secret &amp; Co.</t>
  </si>
  <si>
    <t>F104</t>
  </si>
  <si>
    <t>Suction pressure by circuit</t>
  </si>
  <si>
    <t>Repeating number</t>
  </si>
  <si>
    <t>psig for each circuit</t>
  </si>
  <si>
    <t>Cooling system operating</t>
  </si>
  <si>
    <t>BOSS Facility Services, Broadway National / Primark, CLS / Under Armour, Victoria's Secret &amp; Co., Vixxo / PepsiCo</t>
  </si>
  <si>
    <t>F105</t>
  </si>
  <si>
    <t>Discharge / head pressure by circuit</t>
  </si>
  <si>
    <t>F106</t>
  </si>
  <si>
    <t>Suction line temperature by circuit</t>
  </si>
  <si>
    <t>Pressure readings taken</t>
  </si>
  <si>
    <t>Victoria's Secret &amp; Co., Industry best-practice addition</t>
  </si>
  <si>
    <t>F107</t>
  </si>
  <si>
    <t>Liquid line temperature by circuit</t>
  </si>
  <si>
    <t>F108</t>
  </si>
  <si>
    <t>Superheat by circuit</t>
  </si>
  <si>
    <t>Applicable metering device / system operating</t>
  </si>
  <si>
    <t>Victoria's Secret &amp; Co., Vixxo / PepsiCo</t>
  </si>
  <si>
    <t>F109</t>
  </si>
  <si>
    <t>Subcooling by circuit</t>
  </si>
  <si>
    <t>Applicable system / system operating</t>
  </si>
  <si>
    <t>F110</t>
  </si>
  <si>
    <t>Refrigerant charge / level condition</t>
  </si>
  <si>
    <t>Proper; Low; High; Unable to verify; N/A</t>
  </si>
  <si>
    <t>BOSS Facility Services, Broadway National / Primark, Rack Room Shoes, Vixxo / PepsiCo</t>
  </si>
  <si>
    <t>F111</t>
  </si>
  <si>
    <t>Refrigerant added</t>
  </si>
  <si>
    <t>Charge adjusted</t>
  </si>
  <si>
    <t>F112</t>
  </si>
  <si>
    <t>Refrigerant type and amount added</t>
  </si>
  <si>
    <t>Type and pounds/ounces</t>
  </si>
  <si>
    <t>F113</t>
  </si>
  <si>
    <t>Refrigerant / oil leak found</t>
  </si>
  <si>
    <t>Broadway National / Primark, BOSS Facility Services, Rack Room Shoes, Vixxo / PepsiCo</t>
  </si>
  <si>
    <t>F114</t>
  </si>
  <si>
    <t>Leak location / detection method</t>
  </si>
  <si>
    <t>Visual, electronic, bubbles, oil trace, etc.</t>
  </si>
  <si>
    <t>Leak found</t>
  </si>
  <si>
    <t>F115</t>
  </si>
  <si>
    <t>Schrader valve condition / leaks</t>
  </si>
  <si>
    <t>Good; Leaking; Tightened; Replaced; N/A</t>
  </si>
  <si>
    <t>Service ports present</t>
  </si>
  <si>
    <t>F116</t>
  </si>
  <si>
    <t>Schrader caps installed / tightened</t>
  </si>
  <si>
    <t>F117</t>
  </si>
  <si>
    <t>Refrigerant valve packing condition</t>
  </si>
  <si>
    <t>Good; Leaking; Adjusted; N/A</t>
  </si>
  <si>
    <t>Valve packings present</t>
  </si>
  <si>
    <t>F118</t>
  </si>
  <si>
    <t>TXV / EEV operation</t>
  </si>
  <si>
    <t>Normal; Suspect; Failed; N/A</t>
  </si>
  <si>
    <t>Applicable metering device</t>
  </si>
  <si>
    <t>Broadway National / Primark, Rack Room Shoes</t>
  </si>
  <si>
    <t>F119</t>
  </si>
  <si>
    <t>Moisture indicator condition</t>
  </si>
  <si>
    <t>Dry; Wet; Discolored; N/A</t>
  </si>
  <si>
    <t>Sight glass present</t>
  </si>
  <si>
    <t>F120</t>
  </si>
  <si>
    <t>Filter-drier condition</t>
  </si>
  <si>
    <t>Good; Restricted/Suspect; Corroded; Replace; N/A</t>
  </si>
  <si>
    <t>BOSS Facility Services, Vixxo / PepsiCo</t>
  </si>
  <si>
    <t>F121</t>
  </si>
  <si>
    <t>Refrigerant piping condition</t>
  </si>
  <si>
    <t>Good; Damaged; Rubbing; Unsupported; Corroded; Leaking</t>
  </si>
  <si>
    <t>F122</t>
  </si>
  <si>
    <t>Refrigerant line insulation condition</t>
  </si>
  <si>
    <t>Good; Worn; Missing; Wet; Repaired; Replace</t>
  </si>
  <si>
    <t>Insulated lines present</t>
  </si>
  <si>
    <t>F123</t>
  </si>
  <si>
    <t>Compressor oil level / condition</t>
  </si>
  <si>
    <t>Normal; Low; High; Discolored; N/A</t>
  </si>
  <si>
    <t>Sight glass / applicable compressor</t>
  </si>
  <si>
    <t>Rack Room Shoes, Victoria's Secret &amp; Co.</t>
  </si>
  <si>
    <t>F124</t>
  </si>
  <si>
    <t>Electrical, Thermostat &amp; Controls</t>
  </si>
  <si>
    <t>Incoming voltage</t>
  </si>
  <si>
    <t>L1-L2, L2-L3, L1-L3 or L-N</t>
  </si>
  <si>
    <t>Unit energized and safe to test</t>
  </si>
  <si>
    <t>Broadway National / Primark, CLS / Under Armour</t>
  </si>
  <si>
    <t>F125</t>
  </si>
  <si>
    <t>Voltage imbalance</t>
  </si>
  <si>
    <t>Percent</t>
  </si>
  <si>
    <t>Three-phase equipment</t>
  </si>
  <si>
    <t>F126</t>
  </si>
  <si>
    <t>Compressor running amps by compressor</t>
  </si>
  <si>
    <t>Amps</t>
  </si>
  <si>
    <t>F127</t>
  </si>
  <si>
    <t>Compressor rated amps / RLA / FLA</t>
  </si>
  <si>
    <t>Nameplate amps</t>
  </si>
  <si>
    <t>Compressor amp readings taken</t>
  </si>
  <si>
    <t>F128</t>
  </si>
  <si>
    <t>Condenser fan motor amps</t>
  </si>
  <si>
    <t>Condenser fans operating</t>
  </si>
  <si>
    <t>BOSS Facility Services</t>
  </si>
  <si>
    <t>F129</t>
  </si>
  <si>
    <t>Blower / evaporator fan motor amps</t>
  </si>
  <si>
    <t>Fan operating</t>
  </si>
  <si>
    <t>F130</t>
  </si>
  <si>
    <t>Motor rated FLA</t>
  </si>
  <si>
    <t>Motor amp readings taken</t>
  </si>
  <si>
    <t>F131</t>
  </si>
  <si>
    <t>Electric heat amps by stage</t>
  </si>
  <si>
    <t>Electric heat present and tested</t>
  </si>
  <si>
    <t>F132</t>
  </si>
  <si>
    <t>Capacitor rating and measured value</t>
  </si>
  <si>
    <t>µF rated / measured</t>
  </si>
  <si>
    <t>Capacitors present and safe to test</t>
  </si>
  <si>
    <t>F133</t>
  </si>
  <si>
    <t>Thermostat brand / model</t>
  </si>
  <si>
    <t>Thermostat present</t>
  </si>
  <si>
    <t>F134</t>
  </si>
  <si>
    <t>Thermostat room temperature</t>
  </si>
  <si>
    <t>F135</t>
  </si>
  <si>
    <t>Thermostat cooling setpoint before</t>
  </si>
  <si>
    <t>Customer setpoint rule / thermostat present</t>
  </si>
  <si>
    <t>F136</t>
  </si>
  <si>
    <t>Thermostat heating setpoint before</t>
  </si>
  <si>
    <t>F137</t>
  </si>
  <si>
    <t>Thermostat schedule before</t>
  </si>
  <si>
    <t>24/7; Occupied; Unoccupied; Unknown; Custom</t>
  </si>
  <si>
    <t>Programmable thermostat</t>
  </si>
  <si>
    <t>Rack Room Shoes, Laser Facility / Kelly Services</t>
  </si>
  <si>
    <t>F138</t>
  </si>
  <si>
    <t>Thermostat calling mode during reading</t>
  </si>
  <si>
    <t>Cooling; Heating; Fan only; Satisfied; Off</t>
  </si>
  <si>
    <t>Supply temperature recorded</t>
  </si>
  <si>
    <t>F139</t>
  </si>
  <si>
    <t>Thermostat cooling setpoint after</t>
  </si>
  <si>
    <t>Customer setpoint rule</t>
  </si>
  <si>
    <t>F140</t>
  </si>
  <si>
    <t>Thermostat heating setpoint after</t>
  </si>
  <si>
    <t>F141</t>
  </si>
  <si>
    <t>Thermostat differential</t>
  </si>
  <si>
    <t>Customer rule requests</t>
  </si>
  <si>
    <t>F142</t>
  </si>
  <si>
    <t>Thermostat locked</t>
  </si>
  <si>
    <t>F143</t>
  </si>
  <si>
    <t>Thermostat batteries replaced</t>
  </si>
  <si>
    <t>Battery thermostat / batteries weak</t>
  </si>
  <si>
    <t>F144</t>
  </si>
  <si>
    <t>Remote temperature sensors present</t>
  </si>
  <si>
    <t>Yes/No/Unknown</t>
  </si>
  <si>
    <t>Thermostat controls remote sensors</t>
  </si>
  <si>
    <t>F145</t>
  </si>
  <si>
    <t>Remote sensor operation</t>
  </si>
  <si>
    <t>Good; Failed; Out of calibration; N/A</t>
  </si>
  <si>
    <t>Remote sensors present</t>
  </si>
  <si>
    <t>CLS / Under Armour, Rack Room Shoes</t>
  </si>
  <si>
    <t>F146</t>
  </si>
  <si>
    <t>EMS / BAS / DDC present</t>
  </si>
  <si>
    <t>Each controlled unit</t>
  </si>
  <si>
    <t>Laser Facility / Kelly Services, Vixxo / PepsiCo</t>
  </si>
  <si>
    <t>F147</t>
  </si>
  <si>
    <t>EMS / BAS status and alarms</t>
  </si>
  <si>
    <t>Normal; Alarm; Offline; Communication fault; N/A</t>
  </si>
  <si>
    <t>EMS/BAS present</t>
  </si>
  <si>
    <t>F148</t>
  </si>
  <si>
    <t>Economizer / outside-air damper present</t>
  </si>
  <si>
    <t>Airside unit</t>
  </si>
  <si>
    <t>Broadway National / Primark, Powerhouse / Hibbett Sports, Rack Room Shoes, Victoria's Secret &amp; Co.</t>
  </si>
  <si>
    <t>F149</t>
  </si>
  <si>
    <t>Economizer / damper operation</t>
  </si>
  <si>
    <t>Good; Stuck open; Stuck closed; Binding; Control fault; Adjusted; N/A</t>
  </si>
  <si>
    <t>Economizer/damper present</t>
  </si>
  <si>
    <t>Broadway National / Primark, Rack Room Shoes, Victoria's Secret &amp; Co.</t>
  </si>
  <si>
    <t>F150</t>
  </si>
  <si>
    <t>Outdoor-air damper minimum position</t>
  </si>
  <si>
    <t>Percent or measured position</t>
  </si>
  <si>
    <t>F151</t>
  </si>
  <si>
    <t>Outdoor-air screen / intake condition</t>
  </si>
  <si>
    <t>Clean; Dirty; Damaged; Blocked; Missing; N/A</t>
  </si>
  <si>
    <t>Outdoor-air intake present</t>
  </si>
  <si>
    <t>F152</t>
  </si>
  <si>
    <t>Outdoor / fresh-air filter condition</t>
  </si>
  <si>
    <t>Clean; Dirty; Replaced; N/A</t>
  </si>
  <si>
    <t>Fresh-air filter present</t>
  </si>
  <si>
    <t>F153</t>
  </si>
  <si>
    <t>Controls start-run-stop sequence</t>
  </si>
  <si>
    <t>Pass; Fail; Intermittent; N/A</t>
  </si>
  <si>
    <t>Unit can operate</t>
  </si>
  <si>
    <t>F154</t>
  </si>
  <si>
    <t>Active fault / diagnostic codes</t>
  </si>
  <si>
    <t>Code and description</t>
  </si>
  <si>
    <t>Electronic controls report codes</t>
  </si>
  <si>
    <t>F155</t>
  </si>
  <si>
    <t>Heating &amp; Hydronic Readings</t>
  </si>
  <si>
    <t>Gas inlet pressure</t>
  </si>
  <si>
    <t>Gas heat</t>
  </si>
  <si>
    <t>F156</t>
  </si>
  <si>
    <t>Gas manifold pressure</t>
  </si>
  <si>
    <t>F157</t>
  </si>
  <si>
    <t>Gas leak detected</t>
  </si>
  <si>
    <t>F158</t>
  </si>
  <si>
    <t>Heat exchanger condition</t>
  </si>
  <si>
    <t>Fuel-fired heat</t>
  </si>
  <si>
    <t>BOSS Facility Services, Broadway National / Primark, CLS / Under Armour, Laser Facility / Kelly Services, Rack Room Shoes, Victoria's Secret &amp; Co.</t>
  </si>
  <si>
    <t>F159</t>
  </si>
  <si>
    <t>Burner condition</t>
  </si>
  <si>
    <t>Clean; Dirty; Rusted; Damaged; Adjusted; N/A</t>
  </si>
  <si>
    <t>BOSS Facility Services, Laser Facility / Kelly Services, Victoria's Secret &amp; Co.</t>
  </si>
  <si>
    <t>F160</t>
  </si>
  <si>
    <t>Ignition / pilot operation</t>
  </si>
  <si>
    <t>Pass; Fail; Intermittent; Cleaned; N/A</t>
  </si>
  <si>
    <t>F161</t>
  </si>
  <si>
    <t>Combustion / draft inducer motor condition</t>
  </si>
  <si>
    <t>Good; Noisy; Dirty; Failed; N/A</t>
  </si>
  <si>
    <t>Induced-draft heat</t>
  </si>
  <si>
    <t>Broadway National / Primark, Victoria's Secret &amp; Co.</t>
  </si>
  <si>
    <t>F162</t>
  </si>
  <si>
    <t>Flue / vent condition</t>
  </si>
  <si>
    <t>Good; Blocked; Corroded; Disconnected; Leaking; N/A</t>
  </si>
  <si>
    <t>F163</t>
  </si>
  <si>
    <t>Air pressure switch / end switch operation</t>
  </si>
  <si>
    <t>Pass; Fail; N/A</t>
  </si>
  <si>
    <t>Applicable heating equipment</t>
  </si>
  <si>
    <t>F164</t>
  </si>
  <si>
    <t>Flame sensor signal</t>
  </si>
  <si>
    <t>µA or Pass/Fail</t>
  </si>
  <si>
    <t>F165</t>
  </si>
  <si>
    <t>Combustion CO reading</t>
  </si>
  <si>
    <t>ppm</t>
  </si>
  <si>
    <t>Fuel-fired heat and instrument available</t>
  </si>
  <si>
    <t>F166</t>
  </si>
  <si>
    <t>Flue temperature / combustion efficiency</t>
  </si>
  <si>
    <t>°F / %</t>
  </si>
  <si>
    <t>Combustion analysis performed</t>
  </si>
  <si>
    <t>F167</t>
  </si>
  <si>
    <t>Electric heating coil condition</t>
  </si>
  <si>
    <t>Good; Dirty; Damaged; Open element; N/A</t>
  </si>
  <si>
    <t>Electric heat</t>
  </si>
  <si>
    <t>F168</t>
  </si>
  <si>
    <t>Electric heat stages operating</t>
  </si>
  <si>
    <t>Repeating yes/no</t>
  </si>
  <si>
    <t>Stage 1..n</t>
  </si>
  <si>
    <t>F169</t>
  </si>
  <si>
    <t>High-limit / safety control operation</t>
  </si>
  <si>
    <t>Heating equipment</t>
  </si>
  <si>
    <t>Broadway National / Primark, BOSS Facility Services, Victoria's Secret &amp; Co.</t>
  </si>
  <si>
    <t>F170</t>
  </si>
  <si>
    <t>Reversing valve operation</t>
  </si>
  <si>
    <t>Pass; Fail; Sticking; N/A</t>
  </si>
  <si>
    <t>Heat pump</t>
  </si>
  <si>
    <t>F171</t>
  </si>
  <si>
    <t>Defrost controls / cycle</t>
  </si>
  <si>
    <t>Pass; Fail; Unable to test; N/A</t>
  </si>
  <si>
    <t>F172</t>
  </si>
  <si>
    <t>Auxiliary / emergency heat operation</t>
  </si>
  <si>
    <t>Heat pump with auxiliary heat</t>
  </si>
  <si>
    <t>F173</t>
  </si>
  <si>
    <t>Hot-water valve operation</t>
  </si>
  <si>
    <t>Pass; Fail; Leaking; N/A</t>
  </si>
  <si>
    <t>Hot-water heat</t>
  </si>
  <si>
    <t>F174</t>
  </si>
  <si>
    <t>Entering water temperature</t>
  </si>
  <si>
    <t>Hydronic/water-cooled equipment</t>
  </si>
  <si>
    <t>F175</t>
  </si>
  <si>
    <t>Leaving water temperature</t>
  </si>
  <si>
    <t>F176</t>
  </si>
  <si>
    <t>Water pressure drop / flow</t>
  </si>
  <si>
    <t>psi / gpm</t>
  </si>
  <si>
    <t>F177</t>
  </si>
  <si>
    <t>Water regulating valve condition</t>
  </si>
  <si>
    <t>Good; Sticking; Leaking; Failed; N/A</t>
  </si>
  <si>
    <t>Water-cooled condenser</t>
  </si>
  <si>
    <t>F178</t>
  </si>
  <si>
    <t>Strainer condition / cleaned</t>
  </si>
  <si>
    <t>Clean; Dirty; Cleaned; Damaged; N/A</t>
  </si>
  <si>
    <t>BOSS Facility Services, Broadway National / Primark</t>
  </si>
  <si>
    <t>F179</t>
  </si>
  <si>
    <t>Glycol concentration / freeze protection</t>
  </si>
  <si>
    <t>% and freeze point</t>
  </si>
  <si>
    <t>Glycol system</t>
  </si>
  <si>
    <t>F180</t>
  </si>
  <si>
    <t>Frost stat / freeze stat operation</t>
  </si>
  <si>
    <t>Applicable system</t>
  </si>
  <si>
    <t>F181</t>
  </si>
  <si>
    <t>Recommendations / Quote Readiness</t>
  </si>
  <si>
    <t>Deficiency ID</t>
  </si>
  <si>
    <t>Auto-number</t>
  </si>
  <si>
    <t>Sequential</t>
  </si>
  <si>
    <t>Issue found</t>
  </si>
  <si>
    <t>F182</t>
  </si>
  <si>
    <t>Related unit / component</t>
  </si>
  <si>
    <t>Unit and component</t>
  </si>
  <si>
    <t>F183</t>
  </si>
  <si>
    <t>Deficiency description</t>
  </si>
  <si>
    <t>What is wrong and evidence</t>
  </si>
  <si>
    <t>F184</t>
  </si>
  <si>
    <t>Condition severity</t>
  </si>
  <si>
    <t>Observation; Needs Service; Urgent; Safety/Critical; Failed</t>
  </si>
  <si>
    <t>F185</t>
  </si>
  <si>
    <t>Current operational impact</t>
  </si>
  <si>
    <t>None; Reduced capacity; Comfort issue; Water leak risk; Energy waste; Unit down; Safety hazard</t>
  </si>
  <si>
    <t>F186</t>
  </si>
  <si>
    <t>Expected risk before next PM</t>
  </si>
  <si>
    <t>Low; Moderate; High; Imminent</t>
  </si>
  <si>
    <t>F187</t>
  </si>
  <si>
    <t>Recommended action</t>
  </si>
  <si>
    <t>Monitor; Clean; Adjust; Repair; Replace component; Replace unit; Further diagnosis</t>
  </si>
  <si>
    <t>F188</t>
  </si>
  <si>
    <t>Parts / materials needed</t>
  </si>
  <si>
    <t>Part numbers, sizes, quantities</t>
  </si>
  <si>
    <t>Repair recommended</t>
  </si>
  <si>
    <t>F189</t>
  </si>
  <si>
    <t>Estimated labor / access equipment</t>
  </si>
  <si>
    <t>Hours, technicians, lift/ladder</t>
  </si>
  <si>
    <t>Quote requested</t>
  </si>
  <si>
    <t>F190</t>
  </si>
  <si>
    <t>Quote / NTE required</t>
  </si>
  <si>
    <t>Laser Facility / Kelly Services, CLS Equipment Condition Report, Off Broadway Shoe Warehouse, Rack Room Shoes</t>
  </si>
  <si>
    <t>F191</t>
  </si>
  <si>
    <t>Call center contacted for NTE / quote</t>
  </si>
  <si>
    <t>Immediate approval needed</t>
  </si>
  <si>
    <t>F192</t>
  </si>
  <si>
    <t>Quote / reference number</t>
  </si>
  <si>
    <t>Reference ID</t>
  </si>
  <si>
    <t>Quote created</t>
  </si>
  <si>
    <t>F193</t>
  </si>
  <si>
    <t>Material used - type</t>
  </si>
  <si>
    <t>Filter; Belt; Refrigerant; Battery; Fuse; Anti-algae tablet; Other</t>
  </si>
  <si>
    <t>Material used</t>
  </si>
  <si>
    <t>Broadway National / Primark, Off Broadway Shoe Warehouse, Rack Room Shoes</t>
  </si>
  <si>
    <t>F194</t>
  </si>
  <si>
    <t>Material used - size / part number</t>
  </si>
  <si>
    <t>Size or part number</t>
  </si>
  <si>
    <t>F195</t>
  </si>
  <si>
    <t>Material used - quantity</t>
  </si>
  <si>
    <t>Quantity</t>
  </si>
  <si>
    <t>F196</t>
  </si>
  <si>
    <t>General recommendations / comments</t>
  </si>
  <si>
    <t>Each unit / visit</t>
  </si>
  <si>
    <t>BOSS Facility Services, Broadway National / Primark, CLS Equipment Condition Report, Victoria's Secret &amp; Co., Vixxo / PepsiCo</t>
  </si>
  <si>
    <t>F197</t>
  </si>
  <si>
    <t>Closeout</t>
  </si>
  <si>
    <t>Completion &amp; Signoff</t>
  </si>
  <si>
    <t>All panels reinstalled and secured</t>
  </si>
  <si>
    <t>Every unit</t>
  </si>
  <si>
    <t>Powerhouse / Hibbett Sports, Industry best-practice addition</t>
  </si>
  <si>
    <t>F198</t>
  </si>
  <si>
    <t>Disconnects / power restored</t>
  </si>
  <si>
    <t>F199</t>
  </si>
  <si>
    <t>Work area and roof cleaned</t>
  </si>
  <si>
    <t>F200</t>
  </si>
  <si>
    <t>Manager informed PM is complete</t>
  </si>
  <si>
    <t>F201</t>
  </si>
  <si>
    <t>Manager / customer printed name</t>
  </si>
  <si>
    <t>Customer signoff required</t>
  </si>
  <si>
    <t>F202</t>
  </si>
  <si>
    <t>Manager / customer signature</t>
  </si>
  <si>
    <t>Signature</t>
  </si>
  <si>
    <t>Digital signature</t>
  </si>
  <si>
    <t>F203</t>
  </si>
  <si>
    <t>Site stamp or customer initials</t>
  </si>
  <si>
    <t>Image/Signature</t>
  </si>
  <si>
    <t>Stamp image or initials</t>
  </si>
  <si>
    <t>Customer requires</t>
  </si>
  <si>
    <t>F204</t>
  </si>
  <si>
    <t>Technician signature</t>
  </si>
  <si>
    <t>F205</t>
  </si>
  <si>
    <t>Closeout date / time</t>
  </si>
  <si>
    <t>Date-Time</t>
  </si>
  <si>
    <t>Timestamp</t>
  </si>
  <si>
    <t>F206</t>
  </si>
  <si>
    <t>Photo count uploaded</t>
  </si>
  <si>
    <t>F207</t>
  </si>
  <si>
    <t>Invoice attached</t>
  </si>
  <si>
    <t>Submission package built in same workflow</t>
  </si>
  <si>
    <t>Laser Facility / Kelly Services, Broadway National / Primark</t>
  </si>
  <si>
    <t>F208</t>
  </si>
  <si>
    <t>Signoff attached</t>
  </si>
  <si>
    <t>F209</t>
  </si>
  <si>
    <t>Completed checklist attached</t>
  </si>
  <si>
    <t>Laser Facility / Kelly Services, Broadway National / Primark, CLS / Under Armour</t>
  </si>
  <si>
    <t>F210</t>
  </si>
  <si>
    <t>Photos attached</t>
  </si>
  <si>
    <t>F211</t>
  </si>
  <si>
    <t>Submission destination</t>
  </si>
  <si>
    <t>Portal/email/call center</t>
  </si>
  <si>
    <t>F212</t>
  </si>
  <si>
    <t>Submission date / confirmation</t>
  </si>
  <si>
    <t>Timestamp/reference</t>
  </si>
  <si>
    <t>Package submitted</t>
  </si>
  <si>
    <t>Universal HVAC Preventive Maintenance Tasks and Readings</t>
  </si>
  <si>
    <t>Task ID</t>
  </si>
  <si>
    <t>Equipment Area</t>
  </si>
  <si>
    <t>Task / Inspection</t>
  </si>
  <si>
    <t>Standard Response</t>
  </si>
  <si>
    <t>Reading / Data</t>
  </si>
  <si>
    <t>Applies When</t>
  </si>
  <si>
    <t>Photo</t>
  </si>
  <si>
    <t>Notes</t>
  </si>
  <si>
    <t>T001</t>
  </si>
  <si>
    <t>Arrival / Site</t>
  </si>
  <si>
    <t>Take a clear photo of the front of the building</t>
  </si>
  <si>
    <t>Completed / N/A</t>
  </si>
  <si>
    <t>Every visit when required by customer</t>
  </si>
  <si>
    <t>Customer-configured</t>
  </si>
  <si>
    <t>Required</t>
  </si>
  <si>
    <t>T002</t>
  </si>
  <si>
    <t>Check in with site manager and explain that HVAC PM is being performed</t>
  </si>
  <si>
    <t>Completed / Not available</t>
  </si>
  <si>
    <t>T003</t>
  </si>
  <si>
    <t>Confirm special access needs and safely access every unit</t>
  </si>
  <si>
    <t>Pass / Issue</t>
  </si>
  <si>
    <t>Issue only</t>
  </si>
  <si>
    <t>T004</t>
  </si>
  <si>
    <t>Cabinet / Exterior</t>
  </si>
  <si>
    <t>Perform overall visual inspection of unit and service area</t>
  </si>
  <si>
    <t>Pass / Needs Service / Failed / N/A</t>
  </si>
  <si>
    <t>Laser Facility / Kelly Services, BOSS Facility Services</t>
  </si>
  <si>
    <t>T005</t>
  </si>
  <si>
    <t>Inspect cabinet, paint, corrosion and physical damage</t>
  </si>
  <si>
    <t>Condition status</t>
  </si>
  <si>
    <t>T006</t>
  </si>
  <si>
    <t>Inspect for water or air leakage</t>
  </si>
  <si>
    <t>Pass / Leak found / N/A</t>
  </si>
  <si>
    <t>If issue</t>
  </si>
  <si>
    <t>T007</t>
  </si>
  <si>
    <t>Verify all panels, hinges and screws are present, secure and serviceable</t>
  </si>
  <si>
    <t>Pass / Corrected / Needs repair</t>
  </si>
  <si>
    <t>T008</t>
  </si>
  <si>
    <t>Inspect internal insulation and panel condition</t>
  </si>
  <si>
    <t>T009</t>
  </si>
  <si>
    <t>Roof / Service Area</t>
  </si>
  <si>
    <t>Inspect curb, stands, roof penetrations and service clearance</t>
  </si>
  <si>
    <t>Pass / Needs Service / N/A</t>
  </si>
  <si>
    <t>Rooftop or exterior units</t>
  </si>
  <si>
    <t>T010</t>
  </si>
  <si>
    <t>Inspect piping and insulation for damage, rubbing, leaks or UV deterioration</t>
  </si>
  <si>
    <t>Applicable units</t>
  </si>
  <si>
    <t>BOSS Facility Services, Powerhouse / Hibbett Sports, Victoria's Secret &amp; Co.</t>
  </si>
  <si>
    <t>T011</t>
  </si>
  <si>
    <t>Remove debris/trash and clean up around unit</t>
  </si>
  <si>
    <t>Completed / Unable</t>
  </si>
  <si>
    <t>After photo when required</t>
  </si>
  <si>
    <t>T012</t>
  </si>
  <si>
    <t>Filters</t>
  </si>
  <si>
    <t>Inspect filter condition, fit, rack, seals and airflow direction</t>
  </si>
  <si>
    <t>Before photo</t>
  </si>
  <si>
    <t>T013</t>
  </si>
  <si>
    <t>Replace all filters when included in scope</t>
  </si>
  <si>
    <t>Completed / Not in scope / Unable</t>
  </si>
  <si>
    <t>Sizes and quantities</t>
  </si>
  <si>
    <t>Before and after</t>
  </si>
  <si>
    <t>Broadway National / Primark, CLS / Under Armour, Laser Facility / Kelly Services, Off Broadway Shoe Warehouse, Rack Room Shoes</t>
  </si>
  <si>
    <t>T014</t>
  </si>
  <si>
    <t>Write service date on replacement filters</t>
  </si>
  <si>
    <t>After photo</t>
  </si>
  <si>
    <t>T015</t>
  </si>
  <si>
    <t>Show old filters to store staff before disposal</t>
  </si>
  <si>
    <t>Manager name</t>
  </si>
  <si>
    <t>T016</t>
  </si>
  <si>
    <t>Fresh Air</t>
  </si>
  <si>
    <t>Inspect and clean/replace fresh-air filters</t>
  </si>
  <si>
    <t>Pass / Cleaned / Replaced / N/A</t>
  </si>
  <si>
    <t>Fresh-air filters present</t>
  </si>
  <si>
    <t>T017</t>
  </si>
  <si>
    <t>Fans / Motors</t>
  </si>
  <si>
    <t>Verify operation of supply, return, exhaust and booster fans</t>
  </si>
  <si>
    <t>Pass / Fail / N/A</t>
  </si>
  <si>
    <t>Amps / RPM if recorded</t>
  </si>
  <si>
    <t>Applicable fans</t>
  </si>
  <si>
    <t>T018</t>
  </si>
  <si>
    <t>Inspect and clean blower wheels/fan blades</t>
  </si>
  <si>
    <t>Clean / Cleaned / Damaged / N/A</t>
  </si>
  <si>
    <t>Before/after if dirty</t>
  </si>
  <si>
    <t>T019</t>
  </si>
  <si>
    <t>Inspect fan and motor mounting hardware; tighten as required</t>
  </si>
  <si>
    <t>Pass / Tightened / Needs repair</t>
  </si>
  <si>
    <t>Victoria's Secret &amp; Co., Powerhouse / Hibbett Sports</t>
  </si>
  <si>
    <t>T020</t>
  </si>
  <si>
    <t>Inspect bearings for wear/noise/play and lubricate where required</t>
  </si>
  <si>
    <t>Pass / Lubricated / Needs repair / N/A</t>
  </si>
  <si>
    <t>Serviceable bearings</t>
  </si>
  <si>
    <t>Broadway National / Primark, Laser Facility / Kelly Services, Rack Room Shoes</t>
  </si>
  <si>
    <t>T021</t>
  </si>
  <si>
    <t>Belts / Pulleys</t>
  </si>
  <si>
    <t>Inspect belts for wear, cracks, glazing, contamination and correct tension</t>
  </si>
  <si>
    <t>Pass / Adjusted / Quote replacement / Failed / N/A</t>
  </si>
  <si>
    <t>Belt size/quantity</t>
  </si>
  <si>
    <t>T022</t>
  </si>
  <si>
    <t>Inspect pulley/sheave condition and alignment</t>
  </si>
  <si>
    <t>Pass / Adjusted / Needs replacement / N/A</t>
  </si>
  <si>
    <t>T023</t>
  </si>
  <si>
    <t>Verify shafts are aligned and components rotate freely</t>
  </si>
  <si>
    <t>T024</t>
  </si>
  <si>
    <t>Coils</t>
  </si>
  <si>
    <t>Inspect condenser coil for dirt, damage and fin condition</t>
  </si>
  <si>
    <t>BOSS Facility Services, CLS / Under Armour, Rack Room Shoes, Victoria's Secret &amp; Co.</t>
  </si>
  <si>
    <t>T025</t>
  </si>
  <si>
    <t>Inspect evaporator coil for dirt, damage and fin condition</t>
  </si>
  <si>
    <t>T026</t>
  </si>
  <si>
    <t>Brush/vacuum/wash coils as scope and access permit</t>
  </si>
  <si>
    <t>Completed / Not needed / Deep clean quote / Unable</t>
  </si>
  <si>
    <t>Dirty coils</t>
  </si>
  <si>
    <t>Before/after</t>
  </si>
  <si>
    <t>T027</t>
  </si>
  <si>
    <t>Determine whether evaporator or condenser coils require a deep cleaning</t>
  </si>
  <si>
    <t>Yes / No / N/A</t>
  </si>
  <si>
    <t>Required if Yes</t>
  </si>
  <si>
    <t>T028</t>
  </si>
  <si>
    <t>Heating Coil</t>
  </si>
  <si>
    <t>Inspect and clean heating coil or heat exchanger surfaces</t>
  </si>
  <si>
    <t>Pass / Cleaned / Needs repair / N/A</t>
  </si>
  <si>
    <t>T029</t>
  </si>
  <si>
    <t>Condensate</t>
  </si>
  <si>
    <t>Inspect drain pan for rust, cracks, standing water, biological growth and overflow risk</t>
  </si>
  <si>
    <t>Condensing equipment</t>
  </si>
  <si>
    <t>T030</t>
  </si>
  <si>
    <t>Clean/flush drain pan, drain line, trap, strainer and valves</t>
  </si>
  <si>
    <t>Completed / Not needed / Unable / N/A</t>
  </si>
  <si>
    <t>Broadway National / Primark, CLS / Under Armour, Laser Facility / Kelly Services, Rack Room Shoes</t>
  </si>
  <si>
    <t>T031</t>
  </si>
  <si>
    <t>Verify condensate drains freely and there are no leaks</t>
  </si>
  <si>
    <t>T032</t>
  </si>
  <si>
    <t>Test overflow switch / float switch / condensate pump</t>
  </si>
  <si>
    <t>Component present</t>
  </si>
  <si>
    <t>T033</t>
  </si>
  <si>
    <t>Add anti-algae treatment to drain pan</t>
  </si>
  <si>
    <t>Completed / N/A / Unable</t>
  </si>
  <si>
    <t>Quantity/type</t>
  </si>
  <si>
    <t>T034</t>
  </si>
  <si>
    <t>Electrical</t>
  </si>
  <si>
    <t>Inspect disconnect, fuses, breakers, control panel and wiring</t>
  </si>
  <si>
    <t>Voltage if taken</t>
  </si>
  <si>
    <t>Every powered unit</t>
  </si>
  <si>
    <t>BOSS Facility Services, Laser Facility / Kelly Services, Powerhouse / Hibbett Sports</t>
  </si>
  <si>
    <t>T035</t>
  </si>
  <si>
    <t>Check and tighten electrical connections where safe and permitted</t>
  </si>
  <si>
    <t>Interior photo</t>
  </si>
  <si>
    <t>Laser Facility / Kelly Services, Off Broadway Shoe Warehouse, Rack Room Shoes</t>
  </si>
  <si>
    <t>T036</t>
  </si>
  <si>
    <t>Inspect for overheating, discoloration, corrosion, damaged insulation and loose terminals</t>
  </si>
  <si>
    <t>Pass / Issue found</t>
  </si>
  <si>
    <t>T037</t>
  </si>
  <si>
    <t>Inspect starters, contactors, relays, solenoids and run capacitors</t>
  </si>
  <si>
    <t>Capacitor µF if taken</t>
  </si>
  <si>
    <t>Components present</t>
  </si>
  <si>
    <t>Broadway National / Primark, CLS / Under Armour, Vixxo / PepsiCo</t>
  </si>
  <si>
    <t>T038</t>
  </si>
  <si>
    <t>Test operating controls and safety controls</t>
  </si>
  <si>
    <t>BOSS Facility Services, Broadway National / Primark, Rack Room Shoes, Victoria's Secret &amp; Co.</t>
  </si>
  <si>
    <t>T039</t>
  </si>
  <si>
    <t>Measure motor voltage and current draw; compare with nameplate ratings</t>
  </si>
  <si>
    <t>Pass / Out of range / Unable</t>
  </si>
  <si>
    <t>Volts and amps</t>
  </si>
  <si>
    <t>Operating motors</t>
  </si>
  <si>
    <t>Instrument display optional</t>
  </si>
  <si>
    <t>Broadway National / Primark, CLS / Under Armour, BOSS Facility Services, Vixxo / PepsiCo</t>
  </si>
  <si>
    <t>T040</t>
  </si>
  <si>
    <t>Verify proper start, run and shutdown sequence</t>
  </si>
  <si>
    <t>Pass / Fail / Intermittent</t>
  </si>
  <si>
    <t>T041</t>
  </si>
  <si>
    <t>Thermostat / Controls</t>
  </si>
  <si>
    <t>Verify thermostat operates the unit in cooling and heating modes</t>
  </si>
  <si>
    <t>Pass / Fail / Unable / N/A</t>
  </si>
  <si>
    <t>Setpoints</t>
  </si>
  <si>
    <t>Thermostat-controlled equipment</t>
  </si>
  <si>
    <t>Required when customer requests</t>
  </si>
  <si>
    <t>T042</t>
  </si>
  <si>
    <t>Verify remote sensors are present, communicating and reasonably calibrated</t>
  </si>
  <si>
    <t>Sensor temperatures</t>
  </si>
  <si>
    <t>T043</t>
  </si>
  <si>
    <t>Record thermostat setpoints and schedule before making changes</t>
  </si>
  <si>
    <t>Cooling, heating, schedule</t>
  </si>
  <si>
    <t>Customer setpoint rules</t>
  </si>
  <si>
    <t>T044</t>
  </si>
  <si>
    <t>Adjust thermostat to customer-required cooling/heating setpoints and schedule</t>
  </si>
  <si>
    <t>Completed / Already correct / Unable</t>
  </si>
  <si>
    <t>Final setpoints</t>
  </si>
  <si>
    <t>T045</t>
  </si>
  <si>
    <t>Lock thermostat and verify programming/differential where required</t>
  </si>
  <si>
    <t>Lock and differential</t>
  </si>
  <si>
    <t>Off Broadway Shoe Warehouse, Rack Room Shoes, Laser Facility / Kelly Services</t>
  </si>
  <si>
    <t>T046</t>
  </si>
  <si>
    <t>Replace thermostat batteries if needed</t>
  </si>
  <si>
    <t>Completed / Not needed / N/A</t>
  </si>
  <si>
    <t>Battery thermostat</t>
  </si>
  <si>
    <t>T047</t>
  </si>
  <si>
    <t>EMS / DDC</t>
  </si>
  <si>
    <t>Verify DDC/EMS/BAS communication, schedules, commands and active alarms</t>
  </si>
  <si>
    <t>Pass / Alarm / Offline / N/A</t>
  </si>
  <si>
    <t>Alarm codes</t>
  </si>
  <si>
    <t>DDC/EMS present</t>
  </si>
  <si>
    <t>T048</t>
  </si>
  <si>
    <t>Economizer</t>
  </si>
  <si>
    <t>Verify economizer/outdoor-air damper operation and free movement</t>
  </si>
  <si>
    <t>Pass / Adjusted / Fail / N/A</t>
  </si>
  <si>
    <t>Damper position</t>
  </si>
  <si>
    <t>Economizer present</t>
  </si>
  <si>
    <t>T049</t>
  </si>
  <si>
    <t>Inspect damper motor, linkage, outside-air screen and intake</t>
  </si>
  <si>
    <t>Outdoor-air system present</t>
  </si>
  <si>
    <t>Broadway National / Primark, BOSS Facility Services, Powerhouse / Hibbett Sports</t>
  </si>
  <si>
    <t>T050</t>
  </si>
  <si>
    <t>Refrigeration</t>
  </si>
  <si>
    <t>Inspect compressor and refrigerant lines for damage, vibration, oil traces and leaks</t>
  </si>
  <si>
    <t>Pass / Issue found / N/A</t>
  </si>
  <si>
    <t>Victoria's Secret &amp; Co., Rack Room Shoes</t>
  </si>
  <si>
    <t>T051</t>
  </si>
  <si>
    <t>Inspect refrigerant valve packings and Schrader valves for leaks</t>
  </si>
  <si>
    <t>Pass / Corrected / Leak found / N/A</t>
  </si>
  <si>
    <t>Service valves/ports present</t>
  </si>
  <si>
    <t>T052</t>
  </si>
  <si>
    <t>Install or tighten service-port caps</t>
  </si>
  <si>
    <t>T053</t>
  </si>
  <si>
    <t>Inspect filter-drier, sight glass/moisture indicator and metering device operation</t>
  </si>
  <si>
    <t>T054</t>
  </si>
  <si>
    <t>Verify refrigerant charge using appropriate readings</t>
  </si>
  <si>
    <t>Proper / Low / High / Unable / N/A</t>
  </si>
  <si>
    <t>Pressures, line temps, superheat, subcooling</t>
  </si>
  <si>
    <t>Cooling system can operate</t>
  </si>
  <si>
    <t>Instrument displays recommended</t>
  </si>
  <si>
    <t>Broadway National / Primark, Laser Facility / Kelly Services, Rack Room Shoes, Victoria's Secret &amp; Co., Vixxo / PepsiCo</t>
  </si>
  <si>
    <t>T055</t>
  </si>
  <si>
    <t>Record ambient temperature and suction/discharge pressure for each circuit</t>
  </si>
  <si>
    <t>Completed / Unable / N/A</t>
  </si>
  <si>
    <t>Ambient, suction, discharge</t>
  </si>
  <si>
    <t>BOSS Facility Services, CLS / Under Armour, Victoria's Secret &amp; Co.</t>
  </si>
  <si>
    <t>T056</t>
  </si>
  <si>
    <t>Record line temperatures, superheat and subcooling where applicable</t>
  </si>
  <si>
    <t>Temperatures and calculated values</t>
  </si>
  <si>
    <t>T057</t>
  </si>
  <si>
    <t>Compressor</t>
  </si>
  <si>
    <t>Verify compressor operation, noise, vibration, oil level and amp draw</t>
  </si>
  <si>
    <t>Oil level and amps</t>
  </si>
  <si>
    <t>Compressor present</t>
  </si>
  <si>
    <t>BOSS Facility Services, Rack Room Shoes, Vixxo / PepsiCo</t>
  </si>
  <si>
    <t>T058</t>
  </si>
  <si>
    <t>Verify crankcase heater operation</t>
  </si>
  <si>
    <t>Crankcase heater present / fall scope</t>
  </si>
  <si>
    <t>Broadway National / Primark, Laser Facility / Kelly Services</t>
  </si>
  <si>
    <t>T059</t>
  </si>
  <si>
    <t>Condenser Fans</t>
  </si>
  <si>
    <t>Manually verify condenser fan free movement with power safely isolated</t>
  </si>
  <si>
    <t>Pass / Binding / N/A</t>
  </si>
  <si>
    <t>Condenser fans present</t>
  </si>
  <si>
    <t>T060</t>
  </si>
  <si>
    <t>Verify condenser fan operation, blade condition, bearings, mounting and amps</t>
  </si>
  <si>
    <t>T061</t>
  </si>
  <si>
    <t>Heat Pump</t>
  </si>
  <si>
    <t>Verify reversing valve and defrost operation</t>
  </si>
  <si>
    <t>Laser Facility / Kelly Services, Industry best-practice addition</t>
  </si>
  <si>
    <t>T062</t>
  </si>
  <si>
    <t>Gas Heating</t>
  </si>
  <si>
    <t>Inspect gas lines, valves and connections; check for leaks</t>
  </si>
  <si>
    <t>Gas pressure</t>
  </si>
  <si>
    <t>T063</t>
  </si>
  <si>
    <t>Inspect and clean burner assembly and combustion blower housing</t>
  </si>
  <si>
    <t>Laser Facility / Kelly Services, Victoria's Secret &amp; Co.</t>
  </si>
  <si>
    <t>T064</t>
  </si>
  <si>
    <t>Verify ignition/pilot, gas valve, end switch and pressure switch operation</t>
  </si>
  <si>
    <t>Applicable gas heat</t>
  </si>
  <si>
    <t>T065</t>
  </si>
  <si>
    <t>Inspect heat exchanger for cracks, holes, rust or damage</t>
  </si>
  <si>
    <t>Pass / Failed / Unable to fully inspect / N/A</t>
  </si>
  <si>
    <t>BOSS Facility Services, CLS / Under Armour, Laser Facility / Kelly Services, Rack Room Shoes, Victoria's Secret &amp; Co.</t>
  </si>
  <si>
    <t>T066</t>
  </si>
  <si>
    <t>Inspect flue/vent system and verify safe draft</t>
  </si>
  <si>
    <t>Draft/CO if measured</t>
  </si>
  <si>
    <t>T067</t>
  </si>
  <si>
    <t>Check gas inlet/manifold pressure</t>
  </si>
  <si>
    <t>Pass / Out of range / Unable / N/A</t>
  </si>
  <si>
    <t>Gas heat operating</t>
  </si>
  <si>
    <t>CLS / Under Armour, Rack Room Shoes, Victoria's Secret &amp; Co.</t>
  </si>
  <si>
    <t>T068</t>
  </si>
  <si>
    <t>Perform combustion safety check/analysis when required by scope or condition</t>
  </si>
  <si>
    <t>CO, O2/CO2, flue temp, efficiency</t>
  </si>
  <si>
    <t>Instrument display</t>
  </si>
  <si>
    <t>T069</t>
  </si>
  <si>
    <t>Electric Heating</t>
  </si>
  <si>
    <t>Inspect and test electric heating elements, sequencers/contactors and limits</t>
  </si>
  <si>
    <t>Stage amps</t>
  </si>
  <si>
    <t>T070</t>
  </si>
  <si>
    <t>Hydronic Heating</t>
  </si>
  <si>
    <t>Verify hot-water valve operation and inspect coil/piping</t>
  </si>
  <si>
    <t>Pass / Leak / Failed / N/A</t>
  </si>
  <si>
    <t>Entering/leaving water temp</t>
  </si>
  <si>
    <t>T071</t>
  </si>
  <si>
    <t>Hydronic / Water Cooled</t>
  </si>
  <si>
    <t>Inspect water regulating valve, clean strainer and record entering/leaving water temperatures</t>
  </si>
  <si>
    <t>Pass / Cleaned / Needs Service / N/A</t>
  </si>
  <si>
    <t>Water temperatures</t>
  </si>
  <si>
    <t>Water-cooled equipment</t>
  </si>
  <si>
    <t>T072</t>
  </si>
  <si>
    <t>Hydronic / Seasonal</t>
  </si>
  <si>
    <t>Drain water coils or add/check glycol as required</t>
  </si>
  <si>
    <t>Glycol % / freeze point</t>
  </si>
  <si>
    <t>Seasonal water coil</t>
  </si>
  <si>
    <t>T073</t>
  </si>
  <si>
    <t>Heating Performance</t>
  </si>
  <si>
    <t>Record return and supply temperatures and calculate temperature rise</t>
  </si>
  <si>
    <t>Return, supply, rise</t>
  </si>
  <si>
    <t>Heating mode can operate</t>
  </si>
  <si>
    <t>T074</t>
  </si>
  <si>
    <t>Air Distribution</t>
  </si>
  <si>
    <t>Inspect supply and return grilles/diffusers for dirt, blockage and damage</t>
  </si>
  <si>
    <t>Pass / Dirty / Blocked / Damaged / N/A</t>
  </si>
  <si>
    <t>Required if dirty</t>
  </si>
  <si>
    <t>Laser Facility / Kelly Services, Off Broadway Shoe Warehouse, Rack Room Shoes, Vixxo / PepsiCo</t>
  </si>
  <si>
    <t>T075</t>
  </si>
  <si>
    <t>Clean grilles/diffusers when included in scope or prepare quote</t>
  </si>
  <si>
    <t>Completed / Quote needed / Not needed / N/A</t>
  </si>
  <si>
    <t>Dirty grilles found</t>
  </si>
  <si>
    <t>T076</t>
  </si>
  <si>
    <t>Check airflow and temperature at representative supply grilles</t>
  </si>
  <si>
    <t>Pass / Weak airflow / Uneven / N/A</t>
  </si>
  <si>
    <t>Temperature / velocity / CFM</t>
  </si>
  <si>
    <t>Customer requests or comfort issue</t>
  </si>
  <si>
    <t>T077</t>
  </si>
  <si>
    <t>Inspect accessible duct system for damage, disconnected sections, leakage and insulation defects</t>
  </si>
  <si>
    <t>Accessible duct system</t>
  </si>
  <si>
    <t>Vixxo / PepsiCo, Industry best-practice addition</t>
  </si>
  <si>
    <t>T078</t>
  </si>
  <si>
    <t>Performance</t>
  </si>
  <si>
    <t>Record supply, return, mixed-air and ambient temperatures as applicable</t>
  </si>
  <si>
    <t>Temperatures</t>
  </si>
  <si>
    <t>T079</t>
  </si>
  <si>
    <t>Measure entering/leaving static pressure and calculate total external static</t>
  </si>
  <si>
    <t>Ducted equipment / scope requires</t>
  </si>
  <si>
    <t>T080</t>
  </si>
  <si>
    <t>Document all readings, work performed, materials, repairs and deficiencies</t>
  </si>
  <si>
    <t>Completed</t>
  </si>
  <si>
    <t>Issue photos</t>
  </si>
  <si>
    <t>T081</t>
  </si>
  <si>
    <t>Confirm all panels are secured, disconnects restored and unit left in safe operating condition</t>
  </si>
  <si>
    <t>Pass / Shut down for safety / Unable</t>
  </si>
  <si>
    <t>T082</t>
  </si>
  <si>
    <t>Inform site staff that PM is complete and capture manager name</t>
  </si>
  <si>
    <t>Completed / No manager available / N/A</t>
  </si>
  <si>
    <t>T083</t>
  </si>
  <si>
    <t>Obtain customer signature/site stamp when required</t>
  </si>
  <si>
    <t>Completed / Declined / N/A</t>
  </si>
  <si>
    <t>T084</t>
  </si>
  <si>
    <t>Complete IVR checkout / closeout</t>
  </si>
  <si>
    <t>Completed / N/A / Failed</t>
  </si>
  <si>
    <t>Confirmation number</t>
  </si>
  <si>
    <t>T085</t>
  </si>
  <si>
    <t>Verify invoice, signoff, checklist, required photos and quotes are included in submission package</t>
  </si>
  <si>
    <t>Complete / Missing items</t>
  </si>
  <si>
    <t>T086</t>
  </si>
  <si>
    <t>Report urgent issues and submit repair quote according to customer rules</t>
  </si>
  <si>
    <t>Contact and quote reference</t>
  </si>
  <si>
    <t>Urgent issue or quote required</t>
  </si>
  <si>
    <t>Master Photo Package</t>
  </si>
  <si>
    <t>Photo ID</t>
  </si>
  <si>
    <t>Photo / Evidence</t>
  </si>
  <si>
    <t>Frequency</t>
  </si>
  <si>
    <t>When Taken</t>
  </si>
  <si>
    <t>Trigger</t>
  </si>
  <si>
    <t>Time/Date Stamp</t>
  </si>
  <si>
    <t>Purpose / Notes</t>
  </si>
  <si>
    <t>P01</t>
  </si>
  <si>
    <t>Front of building / storefront</t>
  </si>
  <si>
    <t>Once per visit</t>
  </si>
  <si>
    <t>Arrival</t>
  </si>
  <si>
    <t>Proves arrival at correct site.</t>
  </si>
  <si>
    <t>P02</t>
  </si>
  <si>
    <t>Unit location / access path</t>
  </si>
  <si>
    <t>Before work</t>
  </si>
  <si>
    <t>Always recommended</t>
  </si>
  <si>
    <t>Shows rooftop/interior location and special access.</t>
  </si>
  <si>
    <t>P03</t>
  </si>
  <si>
    <t>Unit overall exterior</t>
  </si>
  <si>
    <t>Documents general condition.</t>
  </si>
  <si>
    <t>P04</t>
  </si>
  <si>
    <t>Unit number / asset tag</t>
  </si>
  <si>
    <t>Ties all photos/readings to the correct asset.</t>
  </si>
  <si>
    <t>P05</t>
  </si>
  <si>
    <t>Manufacturer nameplate</t>
  </si>
  <si>
    <t>Captures manufacturer, model, serial, electrical ratings, refrigerant and capacity.</t>
  </si>
  <si>
    <t>P06</t>
  </si>
  <si>
    <t>Air-handler nameplate / connected asset</t>
  </si>
  <si>
    <t>Each connected unit</t>
  </si>
  <si>
    <t>Split/AHU systems</t>
  </si>
  <si>
    <t>Captures both halves of a split system.</t>
  </si>
  <si>
    <t>P07</t>
  </si>
  <si>
    <t>Filters before replacement</t>
  </si>
  <si>
    <t>Each filter bank</t>
  </si>
  <si>
    <t>Filters replaced or condition issue</t>
  </si>
  <si>
    <t>CLS / Under Armour, Off Broadway Shoe Warehouse, Rack Room Shoes</t>
  </si>
  <si>
    <t>Documents condition and quantity.</t>
  </si>
  <si>
    <t>P08</t>
  </si>
  <si>
    <t>Filters after replacement and dated</t>
  </si>
  <si>
    <t>After work</t>
  </si>
  <si>
    <t>CLS / Under Armour, Laser Facility / Kelly Services, Off Broadway Shoe Warehouse, Rack Room Shoes</t>
  </si>
  <si>
    <t>Verifies replacement, size, fit and date.</t>
  </si>
  <si>
    <t>P09</t>
  </si>
  <si>
    <t>Unit interior / electrical compartment</t>
  </si>
  <si>
    <t>Always or customer requires</t>
  </si>
  <si>
    <t>Documents cleanliness and electrical condition.</t>
  </si>
  <si>
    <t>P10</t>
  </si>
  <si>
    <t>Condenser coil before/after</t>
  </si>
  <si>
    <t>Before and after cleaning</t>
  </si>
  <si>
    <t>Dirty or cleaned</t>
  </si>
  <si>
    <t>Rack Room Shoes, Laser Facility / Kelly Services, Victoria's Secret &amp; Co.</t>
  </si>
  <si>
    <t>Shows coil condition and cleaning result.</t>
  </si>
  <si>
    <t>P11</t>
  </si>
  <si>
    <t>Evaporator coil before/after</t>
  </si>
  <si>
    <t>Accessible and dirty/cleaned</t>
  </si>
  <si>
    <t>Shows coil condition and deep-clean need.</t>
  </si>
  <si>
    <t>P12</t>
  </si>
  <si>
    <t>Drain pan / line / trap before and after</t>
  </si>
  <si>
    <t>Before/after cleaning</t>
  </si>
  <si>
    <t>Condensate system present</t>
  </si>
  <si>
    <t>Verifies cleaning and drainage.</t>
  </si>
  <si>
    <t>P13</t>
  </si>
  <si>
    <t>Anti-algae treatment in pan</t>
  </si>
  <si>
    <t>Each pan</t>
  </si>
  <si>
    <t>Verifies tablets/treatment were installed.</t>
  </si>
  <si>
    <t>P14</t>
  </si>
  <si>
    <t>Belts / pulleys / sheaves</t>
  </si>
  <si>
    <t>Each belt drive</t>
  </si>
  <si>
    <t>Before/after adjustment</t>
  </si>
  <si>
    <t>Powerhouse / Hibbett Sports, Rack Room Shoes</t>
  </si>
  <si>
    <t>Documents size, condition, tension and alignment.</t>
  </si>
  <si>
    <t>P15</t>
  </si>
  <si>
    <t>Blower wheel / fan / bearings</t>
  </si>
  <si>
    <t>Each affected component</t>
  </si>
  <si>
    <t>Dirty, damaged or serviced</t>
  </si>
  <si>
    <t>Supports cleaning/repair recommendation.</t>
  </si>
  <si>
    <t>P16</t>
  </si>
  <si>
    <t>Thermostat before changes</t>
  </si>
  <si>
    <t>Each thermostat</t>
  </si>
  <si>
    <t>Setpoint/schedule differs from customer rule</t>
  </si>
  <si>
    <t>Required by some customers</t>
  </si>
  <si>
    <t>Rack Room Shoes, Off Broadway Shoe Warehouse</t>
  </si>
  <si>
    <t>Documents original cool/heat settings and schedule.</t>
  </si>
  <si>
    <t>P17</t>
  </si>
  <si>
    <t>Thermostat after changes / locked</t>
  </si>
  <si>
    <t>Customer setpoint rule applies</t>
  </si>
  <si>
    <t>Rack Room Shoes, Off Broadway Shoe Warehouse, Laser Facility / Kelly Services</t>
  </si>
  <si>
    <t>Verifies final setpoints, differential and lock.</t>
  </si>
  <si>
    <t>P18</t>
  </si>
  <si>
    <t>Remote sensor / controller / EMS screen</t>
  </si>
  <si>
    <t>Each affected control</t>
  </si>
  <si>
    <t>During test</t>
  </si>
  <si>
    <t>Sensor/EMS issue or customer requires</t>
  </si>
  <si>
    <t>Laser Facility / Kelly Services, Rack Room Shoes</t>
  </si>
  <si>
    <t>Documents alarms, readings or communication status.</t>
  </si>
  <si>
    <t>P19</t>
  </si>
  <si>
    <t>Supply and return grilles / diffusers</t>
  </si>
  <si>
    <t>Representative areas</t>
  </si>
  <si>
    <t>Dirty, blocked, or customer requires</t>
  </si>
  <si>
    <t>Supports cleaning quote and airflow findings.</t>
  </si>
  <si>
    <t>P20</t>
  </si>
  <si>
    <t>Refrigeration instrument readings</t>
  </si>
  <si>
    <t>Each circuit</t>
  </si>
  <si>
    <t>During operation</t>
  </si>
  <si>
    <t>Pressure/temperature readings required</t>
  </si>
  <si>
    <t>CLS / Under Armour, Victoria's Secret &amp; Co., Vixxo / PepsiCo</t>
  </si>
  <si>
    <t>Provides evidence of recorded readings.</t>
  </si>
  <si>
    <t>P21</t>
  </si>
  <si>
    <t>Electrical meter / amp readings</t>
  </si>
  <si>
    <t>Each abnormal reading</t>
  </si>
  <si>
    <t>Reading out of range or customer requires</t>
  </si>
  <si>
    <t>CLS / Under Armour, Vixxo / PepsiCo</t>
  </si>
  <si>
    <t>Supports diagnosis and quote.</t>
  </si>
  <si>
    <t>P22</t>
  </si>
  <si>
    <t>Heating section / burners / heat exchanger</t>
  </si>
  <si>
    <t>Each heating unit</t>
  </si>
  <si>
    <t>During inspection</t>
  </si>
  <si>
    <t>Optional/issue required</t>
  </si>
  <si>
    <t>CLS / Under Armour, Laser Facility / Kelly Services, Victoria's Secret &amp; Co.</t>
  </si>
  <si>
    <t>Documents safety condition.</t>
  </si>
  <si>
    <t>P23</t>
  </si>
  <si>
    <t>Gas pressure / combustion readings</t>
  </si>
  <si>
    <t>Each tested unit</t>
  </si>
  <si>
    <t>Gas pressure or combustion test performed</t>
  </si>
  <si>
    <t>Evidence of heating performance.</t>
  </si>
  <si>
    <t>P24</t>
  </si>
  <si>
    <t>Roof/service area / curb / piping</t>
  </si>
  <si>
    <t>Each issue</t>
  </si>
  <si>
    <t>Damage, debris, leak, insulation or access issue</t>
  </si>
  <si>
    <t>Documents non-equipment conditions.</t>
  </si>
  <si>
    <t>P25</t>
  </si>
  <si>
    <t>Every deficiency requiring repair or quote</t>
  </si>
  <si>
    <t>At least one overview plus close-up</t>
  </si>
  <si>
    <t>When found</t>
  </si>
  <si>
    <t>Any deficiency</t>
  </si>
  <si>
    <t>Mandatory evidence for quote-ready recommendations.</t>
  </si>
  <si>
    <t>P26</t>
  </si>
  <si>
    <t>Unit after completion / panels secured</t>
  </si>
  <si>
    <t>Shows safe closeout.</t>
  </si>
  <si>
    <t>P27</t>
  </si>
  <si>
    <t>Clean work area</t>
  </si>
  <si>
    <t>Once per unit/area</t>
  </si>
  <si>
    <t>Customer requires or debris removed</t>
  </si>
  <si>
    <t>Verifies housekeeping.</t>
  </si>
  <si>
    <t>P28</t>
  </si>
  <si>
    <t>Customer signature / site stamp</t>
  </si>
  <si>
    <t>Supports invoice approval.</t>
  </si>
  <si>
    <t>Customer-Specific Requirements and Conflicts</t>
  </si>
  <si>
    <t>Customer / Source</t>
  </si>
  <si>
    <t>Topic</t>
  </si>
  <si>
    <t>Specific Requirement</t>
  </si>
  <si>
    <t>Universal-Form Treatment</t>
  </si>
  <si>
    <t>Equipment detail</t>
  </si>
  <si>
    <t>Captures up to four units plus AHUs, filter and belt sizes/quantities, overall condition and area served.</t>
  </si>
  <si>
    <t>Use repeatable unit and connected-AHU records.</t>
  </si>
  <si>
    <t>Condition matrix</t>
  </si>
  <si>
    <t>Rates cabinet, roof/service area, fan, electrical, condensing and heating components as Good/Fair/Poor.</t>
  </si>
  <si>
    <t>Use the universal component status dropdown.</t>
  </si>
  <si>
    <t>Readings/signoff</t>
  </si>
  <si>
    <t>Ambient, multi-stage suction/discharge pressures, blower/condenser/compressor amps, customer signature and site stamp.</t>
  </si>
  <si>
    <t>Make readings repeating by circuit and signoff conditional.</t>
  </si>
  <si>
    <t>Detailed refrigeration</t>
  </si>
  <si>
    <t>Valve packings, Schrader valves/caps, head/suction pressure, motor amps/volts, crankcase heaters, TXV and moisture indicator.</t>
  </si>
  <si>
    <t>Show detailed refrigerant sub-section when applicable.</t>
  </si>
  <si>
    <t>Water-cooled/seasonal</t>
  </si>
  <si>
    <t>Water regulating valve, water temperatures, strainer, economizer, fresh-air filters, drain water coils and add glycol.</t>
  </si>
  <si>
    <t>Use conditional water-cooled and seasonal tasks.</t>
  </si>
  <si>
    <t>Submission</t>
  </si>
  <si>
    <t>Checklist and photos must be submitted within one week for payment.</t>
  </si>
  <si>
    <t>Store deadline in customer profile and require submission confirmation.</t>
  </si>
  <si>
    <t>CLS Equipment Condition Report</t>
  </si>
  <si>
    <t>Condition report</t>
  </si>
  <si>
    <t>Operational good/poor, repairs needed/replacement, filter/belt data, full-scope completion and immediate quote requirement.</t>
  </si>
  <si>
    <t>Use full-scope gate and deficiency record.</t>
  </si>
  <si>
    <t>Required tasks/photos</t>
  </si>
  <si>
    <t>Replace/date filters with photos; belts/pulleys; drains; coils; motor volts/amps; thermostat heat/cool; pressures; gas pressure; heat exchanger and gas leaks.</t>
  </si>
  <si>
    <t>Map to core, cooling and heating sections.</t>
  </si>
  <si>
    <t>Asset inventory</t>
  </si>
  <si>
    <t>System list includes submitter details, unit description, gas/electric, curb adapter and filter size.</t>
  </si>
  <si>
    <t>Allow inventory-only mode and curb-adapter field.</t>
  </si>
  <si>
    <t>Arrival and communication</t>
  </si>
  <si>
    <t>Front-building photo, manager check-in, no pricing/details to store staff, unit location/access and shared-unit status.</t>
  </si>
  <si>
    <t>Make communication rules customer-configured.</t>
  </si>
  <si>
    <t>Controls and cleanup</t>
  </si>
  <si>
    <t>DDC, crankcase heaters, ignition/burner, gas valve/leaks, VAV grilles, thermostat programming/batteries/differential, cleanup and manager name.</t>
  </si>
  <si>
    <t>Use conditional control/heating tasks and closeout.</t>
  </si>
  <si>
    <t>Photo rules</t>
  </si>
  <si>
    <t>Time/date-stamped photos for filters, unit interior, drains and thermostat settings.</t>
  </si>
  <si>
    <t>Customer profile controls timestamp and photo requirements.</t>
  </si>
  <si>
    <t>Drain and thermostat</t>
  </si>
  <si>
    <t>Add anti-algae tablets; thermostat target 70°F cooling and 68°F heating, locked full time.</t>
  </si>
  <si>
    <t>Do not hard-code—load from profile.</t>
  </si>
  <si>
    <t>Asset/condition detail</t>
  </si>
  <si>
    <t>Cabinet, leakage, hinges, economizer, condensing, electrical, fan, heating, asset details, filter/belt, roof/service area and photos.</t>
  </si>
  <si>
    <t>Universal component matrix plus expanded asset fields.</t>
  </si>
  <si>
    <t>Filter and drain proof</t>
  </si>
  <si>
    <t>Date-stamped filter photos, show old filters to staff, clean condensate system, add anti-algae and photograph.</t>
  </si>
  <si>
    <t>Profile flags and photo checklist.</t>
  </si>
  <si>
    <t>Thermostat conflict</t>
  </si>
  <si>
    <t>Requires 71°F cooling and 68°F heating, 24/7 and locked.</t>
  </si>
  <si>
    <t>This conflicts with Off Broadway's 70°F cooling requirement; use customer profile.</t>
  </si>
  <si>
    <t>Detailed condition/readings</t>
  </si>
  <si>
    <t>Coil, belt, pulley, shaft, bearing, supply temp/mode, refrigerant/oil leaks, gas pressure, compressor oil, economizer and remote sensors.</t>
  </si>
  <si>
    <t>Use conditional detailed readings.</t>
  </si>
  <si>
    <t>Seasonal equipment types</t>
  </si>
  <si>
    <t>Covers RTU, split, AHU, VAV, FPVAV and water-source heat pump with spring/fall sections.</t>
  </si>
  <si>
    <t>Show tasks by equipment type and season.</t>
  </si>
  <si>
    <t>Cooling/heating readings</t>
  </si>
  <si>
    <t>Ambient, suction/discharge by circuit, superheat, line temperatures, compressor/fan checks, flue, frost stat and safety switches.</t>
  </si>
  <si>
    <t>Use repeating circuits and seasonal sections.</t>
  </si>
  <si>
    <t>Evaluation survey</t>
  </si>
  <si>
    <t>Unit/AHU data, EER, life expectancy, repair/replace recommendation, component condition, FLA, pressures, superheat/subcooling, static pressure and EMS.</t>
  </si>
  <si>
    <t>Use evaluation mode for condition surveys and quote planning.</t>
  </si>
  <si>
    <t>Recommended Standardized Dropdown Values</t>
  </si>
  <si>
    <t>List Name</t>
  </si>
  <si>
    <t>Value</t>
  </si>
  <si>
    <t>Meaning / Use</t>
  </si>
  <si>
    <t>Task Result</t>
  </si>
  <si>
    <t>Pass / Completed</t>
  </si>
  <si>
    <t>Component/task is acceptable or work was completed.</t>
  </si>
  <si>
    <t>Needs Service</t>
  </si>
  <si>
    <t>Unit operates but corrective service is recommended.</t>
  </si>
  <si>
    <t>Failed / Replace</t>
  </si>
  <si>
    <t>Component failed or should be replaced.</t>
  </si>
  <si>
    <t>Not Applicable</t>
  </si>
  <si>
    <t>Task/component does not apply to this unit.</t>
  </si>
  <si>
    <t>Not Accessible</t>
  </si>
  <si>
    <t>Could not inspect because access was unavailable or unsafe.</t>
  </si>
  <si>
    <t>Unable to Test</t>
  </si>
  <si>
    <t>Conditions did not permit a valid operational test.</t>
  </si>
  <si>
    <t>Condition</t>
  </si>
  <si>
    <t>Excellent</t>
  </si>
  <si>
    <t>Like-new condition; no material defects.</t>
  </si>
  <si>
    <t>Good</t>
  </si>
  <si>
    <t>Normal wear; operating properly.</t>
  </si>
  <si>
    <t>Fair</t>
  </si>
  <si>
    <t>Noticeable wear; monitor or plan service.</t>
  </si>
  <si>
    <t>Poor</t>
  </si>
  <si>
    <t>Significant deterioration or unreliable operation.</t>
  </si>
  <si>
    <t>Needs Replacement</t>
  </si>
  <si>
    <t>Replacement recommended.</t>
  </si>
  <si>
    <t>Overall Recommendation</t>
  </si>
  <si>
    <t>None</t>
  </si>
  <si>
    <t>No corrective action recommended.</t>
  </si>
  <si>
    <t>Monitor</t>
  </si>
  <si>
    <t>Watch condition at future visits.</t>
  </si>
  <si>
    <t>Repair</t>
  </si>
  <si>
    <t>Repair is recommended.</t>
  </si>
  <si>
    <t>Replace</t>
  </si>
  <si>
    <t>Replacement is recommended.</t>
  </si>
  <si>
    <t>Severity</t>
  </si>
  <si>
    <t>Observation</t>
  </si>
  <si>
    <t>Informational item only.</t>
  </si>
  <si>
    <t>Non-urgent service recommended.</t>
  </si>
  <si>
    <t>Urgent</t>
  </si>
  <si>
    <t>Address promptly to avoid failure or damage.</t>
  </si>
  <si>
    <t>Safety / Critical</t>
  </si>
  <si>
    <t>Immediate safety or major operational risk.</t>
  </si>
  <si>
    <t>Equipment Type</t>
  </si>
  <si>
    <t>RTU</t>
  </si>
  <si>
    <t>Packaged rooftop unit.</t>
  </si>
  <si>
    <t>Split System</t>
  </si>
  <si>
    <t>Separate outdoor and indoor sections.</t>
  </si>
  <si>
    <t>AHU</t>
  </si>
  <si>
    <t>Air handling unit.</t>
  </si>
  <si>
    <t>Air-source heat pump.</t>
  </si>
  <si>
    <t>Water-Source Heat Pump</t>
  </si>
  <si>
    <t>Water-loop heat pump.</t>
  </si>
  <si>
    <t>VAV</t>
  </si>
  <si>
    <t>Variable air volume terminal/unit.</t>
  </si>
  <si>
    <t>FPVAV</t>
  </si>
  <si>
    <t>Fan-powered VAV.</t>
  </si>
  <si>
    <t>Fan Coil</t>
  </si>
  <si>
    <t>Fan-coil unit.</t>
  </si>
  <si>
    <t>VRF</t>
  </si>
  <si>
    <t>Variable refrigerant flow system.</t>
  </si>
  <si>
    <t>Exhaust / Booster Fan</t>
  </si>
  <si>
    <t>Standalone air-moving equipment.</t>
  </si>
  <si>
    <t>Refrigeration equipment.</t>
  </si>
  <si>
    <t>Other</t>
  </si>
  <si>
    <t>Describe in notes.</t>
  </si>
  <si>
    <t>Heating Type</t>
  </si>
  <si>
    <t>Gas</t>
  </si>
  <si>
    <t>Natural gas or propane.</t>
  </si>
  <si>
    <t>Electric</t>
  </si>
  <si>
    <t>Electric resistance heat.</t>
  </si>
  <si>
    <t>Reverse-cycle heat.</t>
  </si>
  <si>
    <t>Hot Water</t>
  </si>
  <si>
    <t>Hydronic hot-water coil.</t>
  </si>
  <si>
    <t>Steam</t>
  </si>
  <si>
    <t>Steam coil.</t>
  </si>
  <si>
    <t>Cooling/ventilation only.</t>
  </si>
  <si>
    <t>PM Season</t>
  </si>
  <si>
    <t>Spring Cooling</t>
  </si>
  <si>
    <t>Cooling-season service.</t>
  </si>
  <si>
    <t>Fall Heating</t>
  </si>
  <si>
    <t>Heating-season service.</t>
  </si>
  <si>
    <t>Full PM</t>
  </si>
  <si>
    <t>Cooling and heating scope.</t>
  </si>
  <si>
    <t>Inspection Only</t>
  </si>
  <si>
    <t>Condition survey without full maintenance.</t>
  </si>
  <si>
    <t>Industry Reference Standards and Best-Practice Sources</t>
  </si>
  <si>
    <t>Reference</t>
  </si>
  <si>
    <t>Why It Matters</t>
  </si>
  <si>
    <t>Official URL</t>
  </si>
  <si>
    <t>ASHRAE Standard 180-2018</t>
  </si>
  <si>
    <t>Minimum inspection and maintenance requirements for commercial-building HVAC systems; intended to preserve thermal comfort, energy efficiency and indoor air quality.</t>
  </si>
  <si>
    <t>https://www.ashrae.org/technical-resources/bookstore/standards-180-and-211</t>
  </si>
  <si>
    <t>ASHRAE Titles, Purposes and Scopes</t>
  </si>
  <si>
    <t>Official purpose and scope for ANSI/ASHRAE/ACCA Standard 180-2018.</t>
  </si>
  <si>
    <t>https://www.ashrae.org/technical-resources/standards-and-guidelines/titles-purposes-and-scopes</t>
  </si>
  <si>
    <t>DOE Better Buildings - Commercial HVAC Preventive Maintenance</t>
  </si>
  <si>
    <t>Resources on commercial HVAC O&amp;M, performance, equipment life and energy savings.</t>
  </si>
  <si>
    <t>https://betterbuildingssolutioncenter.energy.gov/solutions-at-a-glance/preventative-maintenance-commercial-hvac-equipment</t>
  </si>
  <si>
    <t>DOE - HVAC Commissioning</t>
  </si>
  <si>
    <t>Highlights verification of HVAC performance, controls, economizers and demand-controlled ventilation.</t>
  </si>
  <si>
    <t>https://www.energy.gov/cmei/buildings/hvac-commissioning</t>
  </si>
  <si>
    <t>ENERGY STAR - O&amp;M Best Practices</t>
  </si>
  <si>
    <t>Emphasizes schedules, setpoints, controls, efficient operation and preventive maintenance.</t>
  </si>
  <si>
    <t>https://www.energystar.gov/buildings/save-energy-commercial-buildings/ways-save/om-best-practices</t>
  </si>
  <si>
    <t>ENERGY STAR - Maintenance Checklist</t>
  </si>
  <si>
    <t>Includes drains, controls, coils, refrigerant, blower airflow and heating safety checks.</t>
  </si>
  <si>
    <t>https://www.energystar.gov/saveathome/heating-cooling/maintenance-checklist</t>
  </si>
  <si>
    <t>DOE FEMP - Equipment O&amp;M Summaries</t>
  </si>
  <si>
    <t>Federal O&amp;M best-practice resources, including unitary HVAC equipment.</t>
  </si>
  <si>
    <t>https://www.energy.gov/cmei/femp/equipment-operations-and-maintenance-summaries</t>
  </si>
  <si>
    <t>No tech info needed - would be from ticket creation</t>
  </si>
  <si>
    <t>Modify ticket creation!!! Have a drop down list from which to choose… if customer does not provide, needs to be verified each time to ensure tech arrives with correct equipment/instructions!!!</t>
  </si>
  <si>
    <t xml:space="preserve">Modify ticket creation!!! Ask customer for general location of each unit. </t>
  </si>
  <si>
    <t xml:space="preserve">Modify ticket creation!!! Ask customer for number of units.  If unknown, add this as an option.  What is selcted here will expand/contract the EvoTrakker PM Checklist.  Have option so that tech can expand/contract that list but it would start out with the number chosen here. </t>
  </si>
  <si>
    <t xml:space="preserve">No tech info needed - would be from ticket creation. </t>
  </si>
  <si>
    <t>Service Checklist items</t>
  </si>
  <si>
    <t xml:space="preserve">Already built into system… maybe name auto name photos with date and time built in? </t>
  </si>
  <si>
    <t>Service Checklist items… maybe create new workflow off of this</t>
  </si>
  <si>
    <t>Assume this relates to quote… move into that workflow</t>
  </si>
  <si>
    <t>Check-out Checklist items</t>
  </si>
  <si>
    <t xml:space="preserve">Generate master list (use AI) and have entry for other.  Service Checklist items. </t>
  </si>
  <si>
    <t>Service Checklist items… if possible, have this auto calculated (using AI) off model number</t>
  </si>
  <si>
    <t>Service Checklist items - this is a duplicate to F040</t>
  </si>
  <si>
    <t>Daniel/Implementation Notes</t>
  </si>
  <si>
    <t>May not need this… IMO this would just be the quote WO#</t>
  </si>
  <si>
    <t>In quote workflow….</t>
  </si>
  <si>
    <t xml:space="preserve">Part of process… </t>
  </si>
  <si>
    <t>In checklist, then into quote workflow</t>
  </si>
  <si>
    <t>Check out checklist</t>
  </si>
  <si>
    <t>OFFICE</t>
  </si>
  <si>
    <t xml:space="preserve">Need more info on this… if needed, system could "count' photos added to ticket. </t>
  </si>
  <si>
    <t>N</t>
  </si>
  <si>
    <t xml:space="preserve">Photo Needed for this step? </t>
  </si>
  <si>
    <t>Y</t>
  </si>
  <si>
    <t>Good; Rusted; Cracked; Hole; Failed; Unable to inspect, NA</t>
  </si>
  <si>
    <t>y</t>
  </si>
  <si>
    <t>Maybe?</t>
  </si>
  <si>
    <t>AAON; Allied Commercial; Amana; American Standard; Arcoaire; Bard; Bosch; Bryant; Carrier; Champion; Coleman; Comfortmaker; Daikin; Day &amp; Night; Fraser-Johnston; Friedrich; Goodman; Heil; International Comfort Products/ICP; Johnson Controls; KeepRite; Lennox; Luxaire; Magic-Pak; Marvair; McQuay; Modine; NORDYNE/Nortek Global HVAC; Payne; Reznor; Rheem; Ruud; TempMaster; Tempstar; Trane; York, Other (allow box for other)</t>
  </si>
  <si>
    <t>Interior Occupied Areas (inc. Salesfloor), Restrooms, Mechanical/Electrical Rooms,Common Areas (Hallways/Lobbies), Service/Back-of-House Areas (inc. Office), Multiple Interior Areas, Roof Areas, Exterior Grounds/Perimeter, Parking Areas (Garage/Lot)</t>
  </si>
  <si>
    <t>Ground, Rooftop, Stilts, Fenced area on the ground, fenced area on the roof</t>
  </si>
  <si>
    <t>Move to Service Checklist items near reason could not do the service</t>
  </si>
  <si>
    <t>F0TBD</t>
  </si>
  <si>
    <t>1, 2, 3, 4, 5, 6, 7, 8, 9, 10, 11, 12, 13, 14, 15, 16, 17, 18, 19, 20, 21, 22, 23, 24, 25, More than 25 (maybe require additional?)</t>
  </si>
  <si>
    <t>68°F, 69°F, 70°F, 71°F, 72°F, 73°F, 74°F, 75°F, 76°F, 77°F, 78°F</t>
  </si>
  <si>
    <t>65°F, 66°F, 67°F, 68°F, 69°F, 70°F, 71°F, 72°F</t>
  </si>
  <si>
    <t>F051-1</t>
  </si>
  <si>
    <t>Manufacturer / brand (IF VRF or VRV)</t>
  </si>
  <si>
    <t>Carrier; Carrier/Toshiba; CIAT; Clivet; Daikin/VRV; Fujitsu General; GENERAL; AIRSTAGE; Gree; Haier; Hitachi; Johnson Controls-Hitachi; LG; Lennox Powered by Samsung/Varix; Midea; MDV; Mitsubishi Electric; Mitsubishi Heavy Industries; Panasonic; Samsung; Sanyo; Toshiba; Trane/Mitsubishi Electric; York/Hitachi</t>
  </si>
  <si>
    <t>Manufacturer / brand (Packaged rooftop, commercial split and broad-line manufacturers)</t>
  </si>
  <si>
    <t>F051-2</t>
  </si>
  <si>
    <t>Daniel added</t>
  </si>
  <si>
    <t>Manufacturer / brand (IF Chiller)</t>
  </si>
  <si>
    <t>Aermec; Airedale by Modine; Arctic Chiller Group; Broad; Carrier; CIAT; Climaveneta; Clivet; Daikin Applied; Dunham-Bush; Gree; Hitachi; Johnson Controls; LG; McQuay; Midea; Mitsubishi Electric Hydronics &amp; IT Cooling Systems/MEHITS; Mitsubishi Heavy Industries; Motivair; Multistack; Petra; Samsung; SKM; Smardt; Swegon/Blue Box; Thermax; Thermal Care; TICA; Trane; Voltas; Yazaki; York; Zamil</t>
  </si>
  <si>
    <t>F051-3</t>
  </si>
  <si>
    <t>Manufacturer / brand (IF Custom)</t>
  </si>
  <si>
    <t>Service Checklist items - THIS LIST NEEDS TO BE UPDATED TO BETTER MATCH F051 lists… need advanced skip logic built into this version</t>
  </si>
  <si>
    <t>AAON; Addison; Air Enterprises; Alliance Air Products; Annexair; Bousquet; CaptiveAire; CleanPak; Climate by Design International; ClimateCraft; Desert Aire; Engineered Air; Energy Labs; FläktGroup; Governair; Greenheck; Haakon; Huntair; I.C.E. Western; Innovent; Johnson Air-Rotation; Mammoth; Munters; Nortek Air Solutions; Price Industries; Seasons-4; SEMCO; Swegon; Systemair; Temtrol; TICA; TROX; United CoolAir; Unison Comfort Technologies; Valent; Venmar CES; Ventrol</t>
  </si>
  <si>
    <t>F051-4</t>
  </si>
  <si>
    <t>Manufacturer / brand (IF PTAC)</t>
  </si>
  <si>
    <t>Amana PTAC; Applied Comfort; Bosch; Carrier; ClimateMaster; Cold Point; Daikin; Eubank; FHP; Friedrich; GE Appliances/Zoneline; Gree; Ice Air; International Environmental Corporation/IEC; Islandaire; LG; Magic-Pak; Marvair; McQuay/Enfinity; Midea; Suburban/Dynaline; Temspec; Trane; WaterFurnace; Whalen</t>
  </si>
  <si>
    <t>Service Checklist items - move so that each unit gets into these questions.  If 1 unit - only presented one time.  If 10, these would be presented 10 times</t>
  </si>
  <si>
    <t>cl_name</t>
  </si>
  <si>
    <t>HVAC PM Checklist</t>
  </si>
  <si>
    <t>Yes, No</t>
  </si>
  <si>
    <t>1 - Already Built Into EvoTrakker</t>
  </si>
  <si>
    <t>2 - PM Rules by Parent Trade</t>
  </si>
  <si>
    <t>3 - Ticket Entry</t>
  </si>
  <si>
    <t>4 - Tech Entry Check In</t>
  </si>
  <si>
    <t>5 - Tech Entry Asset Basics</t>
  </si>
  <si>
    <t>6 - Tech Entry Unit Specifics</t>
  </si>
  <si>
    <t>7 - Tech Entry Check Out</t>
  </si>
  <si>
    <t>????</t>
  </si>
  <si>
    <t>Man hors per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</si>
</sst>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F1F1F"/>
      <name val="Carlito"/>
    </font>
    <font>
      <b/>
      <sz val="13"/>
      <color rgb="FF1F1F1F"/>
      <name val="Carlito"/>
    </font>
    <font>
      <b/>
      <sz val="11"/>
      <name val="Carlito"/>
    </font>
    <font>
      <sz val="11"/>
      <color rgb="FF000000"/>
      <name val="Carlito"/>
    </font>
    <font>
      <b/>
      <i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EAF2F8"/>
      </patternFill>
    </fill>
    <fill>
      <patternFill patternType="solid">
        <fgColor rgb="FFF4B183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3" fillId="4" borderId="12" xfId="0" applyFont="1" applyFill="1" applyBorder="1" applyAlignment="1">
      <alignment vertical="top" wrapText="1"/>
    </xf>
    <xf numFmtId="0" fontId="3" fillId="4" borderId="13" xfId="0" applyFont="1" applyFill="1" applyBorder="1" applyAlignment="1">
      <alignment vertical="top" wrapText="1"/>
    </xf>
    <xf numFmtId="0" fontId="3" fillId="4" borderId="14" xfId="0" applyFont="1" applyFill="1" applyBorder="1" applyAlignment="1">
      <alignment vertical="top" wrapText="1"/>
    </xf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5" fillId="6" borderId="4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5" fillId="6" borderId="6" xfId="0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5" fillId="6" borderId="8" xfId="0" applyFont="1" applyFill="1" applyBorder="1" applyAlignment="1">
      <alignment horizontal="left" vertical="center" wrapText="1"/>
    </xf>
    <xf numFmtId="0" fontId="5" fillId="6" borderId="9" xfId="0" applyFont="1" applyFill="1" applyBorder="1" applyAlignment="1">
      <alignment horizontal="left" vertical="center" wrapText="1"/>
    </xf>
    <xf numFmtId="0" fontId="5" fillId="6" borderId="10" xfId="0" applyFont="1" applyFill="1" applyBorder="1" applyAlignment="1">
      <alignment horizontal="left" vertical="center" wrapText="1"/>
    </xf>
    <xf numFmtId="0" fontId="5" fillId="6" borderId="1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3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3" fillId="4" borderId="14" xfId="0" applyFont="1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0" fillId="0" borderId="0" xfId="0" applyFill="1" applyAlignment="1">
      <alignment vertical="center" wrapText="1"/>
    </xf>
  </cellXfs>
  <cellStyles count="1">
    <cellStyle name="Normal" xfId="0" builtinId="0"/>
  </cellStyles>
  <dxfs count="17"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lueprintTable" displayName="BlueprintTable" ref="A3:E15">
  <tableColumns count="5">
    <tableColumn id="1" xr3:uid="{00000000-0010-0000-0000-000001000000}" name="Step"/>
    <tableColumn id="2" xr3:uid="{00000000-0010-0000-0000-000002000000}" name="Form Section"/>
    <tableColumn id="3" xr3:uid="{00000000-0010-0000-0000-000003000000}" name="Record Level"/>
    <tableColumn id="4" xr3:uid="{00000000-0010-0000-0000-000004000000}" name="Contents"/>
    <tableColumn id="5" xr3:uid="{00000000-0010-0000-0000-000005000000}" name="Design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sterFieldsTable" displayName="MasterFieldsTable" ref="A3:M219" headerRowDxfId="7" dataDxfId="5" totalsRowDxfId="6">
  <autoFilter ref="A3:M219" xr:uid="{00000000-000C-0000-FFFF-FFFF01000000}">
    <filterColumn colId="2">
      <filters>
        <filter val="6 - Tech Entry Unit Specifics"/>
      </filters>
    </filterColumn>
  </autoFilter>
  <tableColumns count="13">
    <tableColumn id="14" xr3:uid="{39D46E9E-6EEC-1942-9FD6-5B2CB007E655}" name="cl_name" dataDxfId="3" totalsRowDxfId="4"/>
    <tableColumn id="1" xr3:uid="{00000000-0010-0000-0100-000001000000}" name="Field ID" dataDxfId="1"/>
    <tableColumn id="2" xr3:uid="{00000000-0010-0000-0100-000002000000}" name="Section" dataDxfId="2"/>
    <tableColumn id="3" xr3:uid="{00000000-0010-0000-0100-000003000000}" name="Subsection" dataDxfId="16"/>
    <tableColumn id="4" xr3:uid="{00000000-0010-0000-0100-000004000000}" name="Field / Question" dataDxfId="15"/>
    <tableColumn id="5" xr3:uid="{00000000-0010-0000-0100-000005000000}" name="Input Type" dataDxfId="14"/>
    <tableColumn id="6" xr3:uid="{00000000-0010-0000-0100-000006000000}" name="Allowed Values / Format" dataDxfId="13"/>
    <tableColumn id="7" xr3:uid="{00000000-0010-0000-0100-000007000000}" name="Requirement" dataDxfId="12"/>
    <tableColumn id="8" xr3:uid="{00000000-0010-0000-0100-000008000000}" name="Trigger / Applies When" dataDxfId="11"/>
    <tableColumn id="10" xr3:uid="{00000000-0010-0000-0100-00000A000000}" name="Source Coverage" dataDxfId="10"/>
    <tableColumn id="13" xr3:uid="{E97F1FD0-4841-BE41-BBEA-C40A0D280B87}" name="Photo Needed for this step? " dataDxfId="9"/>
    <tableColumn id="15" xr3:uid="{2D117961-8669-3C45-A129-AE50D9754A9C}" name="Man hors per task" dataDxfId="0">
      <calculatedColumnFormula>1/60</calculatedColumnFormula>
    </tableColumn>
    <tableColumn id="11" xr3:uid="{00000000-0010-0000-0100-00000B000000}" name="Daniel/Implementation Notes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MTasksTable" displayName="PMTasksTable" ref="A3:J89">
  <tableColumns count="10">
    <tableColumn id="1" xr3:uid="{00000000-0010-0000-0200-000001000000}" name="Task ID"/>
    <tableColumn id="2" xr3:uid="{00000000-0010-0000-0200-000002000000}" name="Equipment Area"/>
    <tableColumn id="3" xr3:uid="{00000000-0010-0000-0200-000003000000}" name="Task / Inspection"/>
    <tableColumn id="4" xr3:uid="{00000000-0010-0000-0200-000004000000}" name="Standard Response"/>
    <tableColumn id="5" xr3:uid="{00000000-0010-0000-0200-000005000000}" name="Reading / Data"/>
    <tableColumn id="6" xr3:uid="{00000000-0010-0000-0200-000006000000}" name="Applies When"/>
    <tableColumn id="7" xr3:uid="{00000000-0010-0000-0200-000007000000}" name="Requirement"/>
    <tableColumn id="8" xr3:uid="{00000000-0010-0000-0200-000008000000}" name="Photo"/>
    <tableColumn id="9" xr3:uid="{00000000-0010-0000-0200-000009000000}" name="Source Coverage"/>
    <tableColumn id="10" xr3:uid="{00000000-0010-0000-0200-00000A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hotosTable" displayName="PhotosTable" ref="A3:H31">
  <tableColumns count="8">
    <tableColumn id="1" xr3:uid="{00000000-0010-0000-0300-000001000000}" name="Photo ID"/>
    <tableColumn id="2" xr3:uid="{00000000-0010-0000-0300-000002000000}" name="Photo / Evidence"/>
    <tableColumn id="3" xr3:uid="{00000000-0010-0000-0300-000003000000}" name="Frequency"/>
    <tableColumn id="4" xr3:uid="{00000000-0010-0000-0300-000004000000}" name="When Taken"/>
    <tableColumn id="5" xr3:uid="{00000000-0010-0000-0300-000005000000}" name="Trigger"/>
    <tableColumn id="6" xr3:uid="{00000000-0010-0000-0300-000006000000}" name="Time/Date Stamp"/>
    <tableColumn id="7" xr3:uid="{00000000-0010-0000-0300-000007000000}" name="Source Coverage"/>
    <tableColumn id="8" xr3:uid="{00000000-0010-0000-0300-000008000000}" name="Purpose /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xceptionsTable" displayName="ExceptionsTable" ref="A3:D23">
  <tableColumns count="4">
    <tableColumn id="1" xr3:uid="{00000000-0010-0000-0400-000001000000}" name="Customer / Source"/>
    <tableColumn id="2" xr3:uid="{00000000-0010-0000-0400-000002000000}" name="Topic"/>
    <tableColumn id="3" xr3:uid="{00000000-0010-0000-0400-000003000000}" name="Specific Requirement"/>
    <tableColumn id="4" xr3:uid="{00000000-0010-0000-0400-000004000000}" name="Universal-Form Treat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ropdownsTable" displayName="DropdownsTable" ref="A3:C44">
  <tableColumns count="3">
    <tableColumn id="1" xr3:uid="{00000000-0010-0000-0500-000001000000}" name="List Name"/>
    <tableColumn id="2" xr3:uid="{00000000-0010-0000-0500-000002000000}" name="Value"/>
    <tableColumn id="3" xr3:uid="{00000000-0010-0000-0500-000003000000}" name="Meaning / Us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eferencesTable" displayName="ReferencesTable" ref="A3:C10">
  <tableColumns count="3">
    <tableColumn id="1" xr3:uid="{00000000-0010-0000-0600-000001000000}" name="Reference"/>
    <tableColumn id="2" xr3:uid="{00000000-0010-0000-0600-000002000000}" name="Why It Matters"/>
    <tableColumn id="3" xr3:uid="{00000000-0010-0000-0600-000003000000}" name="Official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opLeftCell="A12" zoomScale="149" zoomScaleNormal="149" workbookViewId="0">
      <selection activeCell="C27" sqref="C27"/>
    </sheetView>
  </sheetViews>
  <sheetFormatPr baseColWidth="10" defaultColWidth="8.83203125" defaultRowHeight="14"/>
  <cols>
    <col min="1" max="1" width="32" customWidth="1"/>
    <col min="2" max="2" width="14" customWidth="1"/>
    <col min="3" max="3" width="24" customWidth="1"/>
    <col min="4" max="5" width="55" customWidth="1"/>
  </cols>
  <sheetData>
    <row r="1" spans="1:5" ht="37.25" customHeight="1">
      <c r="A1" s="20" t="s">
        <v>0</v>
      </c>
      <c r="B1" s="20"/>
      <c r="C1" s="20"/>
      <c r="D1" s="20"/>
      <c r="E1" s="20"/>
    </row>
    <row r="3" spans="1:5" ht="45.25" customHeight="1">
      <c r="A3" s="1" t="s">
        <v>1</v>
      </c>
      <c r="B3" s="2" t="s">
        <v>2</v>
      </c>
      <c r="C3" s="2" t="s">
        <v>3</v>
      </c>
      <c r="D3" s="2" t="s">
        <v>4</v>
      </c>
      <c r="E3" s="3" t="s">
        <v>5</v>
      </c>
    </row>
    <row r="4" spans="1:5" ht="45">
      <c r="A4" s="16" t="s">
        <v>6</v>
      </c>
      <c r="B4" s="10" t="s">
        <v>7</v>
      </c>
      <c r="C4" s="10" t="s">
        <v>8</v>
      </c>
      <c r="D4" s="10" t="s">
        <v>9</v>
      </c>
      <c r="E4" s="11" t="s">
        <v>10</v>
      </c>
    </row>
    <row r="5" spans="1:5" ht="45">
      <c r="A5" s="17" t="s">
        <v>11</v>
      </c>
      <c r="B5" s="12" t="s">
        <v>12</v>
      </c>
      <c r="C5" s="12" t="s">
        <v>13</v>
      </c>
      <c r="D5" s="12" t="s">
        <v>14</v>
      </c>
      <c r="E5" s="13" t="s">
        <v>15</v>
      </c>
    </row>
    <row r="6" spans="1:5" ht="45">
      <c r="A6" s="17" t="s">
        <v>16</v>
      </c>
      <c r="B6" s="12" t="s">
        <v>17</v>
      </c>
      <c r="C6" s="12" t="s">
        <v>18</v>
      </c>
      <c r="D6" s="12" t="s">
        <v>19</v>
      </c>
      <c r="E6" s="13" t="s">
        <v>20</v>
      </c>
    </row>
    <row r="7" spans="1:5" ht="30">
      <c r="A7" s="17" t="s">
        <v>21</v>
      </c>
      <c r="B7" s="12" t="s">
        <v>22</v>
      </c>
      <c r="C7" s="12" t="s">
        <v>23</v>
      </c>
      <c r="D7" s="12" t="s">
        <v>24</v>
      </c>
      <c r="E7" s="13" t="s">
        <v>25</v>
      </c>
    </row>
    <row r="8" spans="1:5" ht="45">
      <c r="A8" s="17" t="s">
        <v>26</v>
      </c>
      <c r="B8" s="12" t="s">
        <v>27</v>
      </c>
      <c r="C8" s="12" t="s">
        <v>28</v>
      </c>
      <c r="D8" s="12" t="s">
        <v>29</v>
      </c>
      <c r="E8" s="13" t="s">
        <v>30</v>
      </c>
    </row>
    <row r="9" spans="1:5" ht="30">
      <c r="A9" s="17" t="s">
        <v>31</v>
      </c>
      <c r="B9" s="12" t="s">
        <v>32</v>
      </c>
      <c r="C9" s="12" t="s">
        <v>28</v>
      </c>
      <c r="D9" s="12" t="s">
        <v>33</v>
      </c>
      <c r="E9" s="13" t="s">
        <v>34</v>
      </c>
    </row>
    <row r="10" spans="1:5" ht="45">
      <c r="A10" s="17" t="s">
        <v>35</v>
      </c>
      <c r="B10" s="12" t="s">
        <v>36</v>
      </c>
      <c r="C10" s="12" t="s">
        <v>28</v>
      </c>
      <c r="D10" s="12" t="s">
        <v>37</v>
      </c>
      <c r="E10" s="13" t="s">
        <v>38</v>
      </c>
    </row>
    <row r="11" spans="1:5" ht="45">
      <c r="A11" s="17" t="s">
        <v>39</v>
      </c>
      <c r="B11" s="12" t="s">
        <v>40</v>
      </c>
      <c r="C11" s="12" t="s">
        <v>28</v>
      </c>
      <c r="D11" s="12" t="s">
        <v>41</v>
      </c>
      <c r="E11" s="13" t="s">
        <v>42</v>
      </c>
    </row>
    <row r="12" spans="1:5" ht="45">
      <c r="A12" s="17" t="s">
        <v>43</v>
      </c>
      <c r="B12" s="12" t="s">
        <v>44</v>
      </c>
      <c r="C12" s="12" t="s">
        <v>45</v>
      </c>
      <c r="D12" s="12" t="s">
        <v>46</v>
      </c>
      <c r="E12" s="13" t="s">
        <v>47</v>
      </c>
    </row>
    <row r="13" spans="1:5" ht="30">
      <c r="A13" s="17" t="s">
        <v>48</v>
      </c>
      <c r="B13" s="12" t="s">
        <v>49</v>
      </c>
      <c r="C13" s="12" t="s">
        <v>50</v>
      </c>
      <c r="D13" s="12" t="s">
        <v>51</v>
      </c>
      <c r="E13" s="13" t="s">
        <v>52</v>
      </c>
    </row>
    <row r="14" spans="1:5" ht="30">
      <c r="A14" s="17" t="s">
        <v>53</v>
      </c>
      <c r="B14" s="12" t="s">
        <v>54</v>
      </c>
      <c r="C14" s="12" t="s">
        <v>55</v>
      </c>
      <c r="D14" s="12" t="s">
        <v>56</v>
      </c>
      <c r="E14" s="13" t="s">
        <v>57</v>
      </c>
    </row>
    <row r="15" spans="1:5" ht="45">
      <c r="A15" s="18" t="s">
        <v>58</v>
      </c>
      <c r="B15" s="14" t="s">
        <v>59</v>
      </c>
      <c r="C15" s="14" t="s">
        <v>60</v>
      </c>
      <c r="D15" s="14" t="s">
        <v>61</v>
      </c>
      <c r="E15" s="15" t="s">
        <v>62</v>
      </c>
    </row>
    <row r="17" spans="1:5" ht="32" customHeight="1">
      <c r="A17" s="21" t="s">
        <v>63</v>
      </c>
      <c r="B17" s="21"/>
      <c r="C17" s="21"/>
      <c r="D17" s="21"/>
      <c r="E17" s="21"/>
    </row>
    <row r="18" spans="1:5">
      <c r="A18" s="22" t="s">
        <v>64</v>
      </c>
      <c r="B18" s="23"/>
      <c r="C18" s="23"/>
      <c r="D18" s="23"/>
      <c r="E18" s="24"/>
    </row>
    <row r="19" spans="1:5">
      <c r="A19" s="25"/>
      <c r="B19" s="26"/>
      <c r="C19" s="26"/>
      <c r="D19" s="26"/>
      <c r="E19" s="27"/>
    </row>
    <row r="20" spans="1:5">
      <c r="A20" s="28"/>
      <c r="B20" s="29"/>
      <c r="C20" s="29"/>
      <c r="D20" s="29"/>
      <c r="E20" s="30"/>
    </row>
    <row r="22" spans="1:5" ht="15">
      <c r="A22" s="19" t="s">
        <v>65</v>
      </c>
      <c r="B22" s="19" t="s">
        <v>66</v>
      </c>
    </row>
    <row r="23" spans="1:5">
      <c r="A23" s="4" t="s">
        <v>67</v>
      </c>
      <c r="B23" s="5">
        <v>216</v>
      </c>
    </row>
    <row r="24" spans="1:5">
      <c r="A24" s="6" t="s">
        <v>68</v>
      </c>
      <c r="B24" s="7">
        <v>86</v>
      </c>
    </row>
    <row r="25" spans="1:5">
      <c r="A25" s="6" t="s">
        <v>69</v>
      </c>
      <c r="B25" s="7">
        <v>28</v>
      </c>
    </row>
    <row r="26" spans="1:5">
      <c r="A26" s="8" t="s">
        <v>70</v>
      </c>
      <c r="B26" s="9">
        <v>20</v>
      </c>
    </row>
  </sheetData>
  <mergeCells count="3">
    <mergeCell ref="A1:E1"/>
    <mergeCell ref="A17:E17"/>
    <mergeCell ref="A18:E20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9"/>
  <sheetViews>
    <sheetView tabSelected="1" topLeftCell="A104" zoomScale="161" zoomScaleNormal="161" workbookViewId="0">
      <selection activeCell="L49" sqref="L49"/>
    </sheetView>
  </sheetViews>
  <sheetFormatPr baseColWidth="10" defaultColWidth="8.83203125" defaultRowHeight="14"/>
  <cols>
    <col min="1" max="1" width="10" style="31" customWidth="1"/>
    <col min="2" max="2" width="20" style="32" customWidth="1"/>
    <col min="3" max="3" width="24" style="31" customWidth="1"/>
    <col min="4" max="4" width="44" style="31" customWidth="1"/>
    <col min="5" max="5" width="16.5" style="31" bestFit="1" customWidth="1"/>
    <col min="6" max="6" width="34.1640625" style="31" bestFit="1" customWidth="1"/>
    <col min="7" max="7" width="12.6640625" style="31" bestFit="1" customWidth="1"/>
    <col min="8" max="8" width="33.83203125" style="31" bestFit="1" customWidth="1"/>
    <col min="9" max="9" width="40" style="31" bestFit="1" customWidth="1"/>
    <col min="10" max="10" width="40" style="31" customWidth="1"/>
    <col min="11" max="11" width="47.6640625" style="31" bestFit="1" customWidth="1"/>
    <col min="12" max="12" width="47.6640625" style="31" customWidth="1"/>
    <col min="13" max="13" width="50.83203125" style="31" bestFit="1" customWidth="1"/>
    <col min="14" max="16384" width="8.83203125" style="31"/>
  </cols>
  <sheetData>
    <row r="1" spans="1:13" ht="37.25" customHeight="1">
      <c r="A1" s="20" t="s">
        <v>71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3" spans="1:13" ht="45.25" customHeight="1">
      <c r="A3" s="33" t="s">
        <v>1578</v>
      </c>
      <c r="B3" s="1" t="s">
        <v>72</v>
      </c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80</v>
      </c>
      <c r="K3" s="33" t="s">
        <v>1549</v>
      </c>
      <c r="L3" s="33" t="s">
        <v>1589</v>
      </c>
      <c r="M3" s="3" t="s">
        <v>1540</v>
      </c>
    </row>
    <row r="4" spans="1:13" ht="90" hidden="1">
      <c r="A4" s="41" t="s">
        <v>1579</v>
      </c>
      <c r="B4" s="43" t="s">
        <v>81</v>
      </c>
      <c r="C4" s="35" t="s">
        <v>1581</v>
      </c>
      <c r="D4" s="35" t="s">
        <v>82</v>
      </c>
      <c r="E4" s="35" t="s">
        <v>83</v>
      </c>
      <c r="F4" s="35" t="s">
        <v>84</v>
      </c>
      <c r="G4" s="35" t="s">
        <v>85</v>
      </c>
      <c r="H4" s="35" t="s">
        <v>86</v>
      </c>
      <c r="I4" s="35" t="s">
        <v>87</v>
      </c>
      <c r="J4" s="35" t="s">
        <v>89</v>
      </c>
      <c r="K4" s="34" t="s">
        <v>1548</v>
      </c>
      <c r="L4" s="34">
        <f t="shared" ref="L4:L67" si="0">1/60</f>
        <v>1.6666666666666666E-2</v>
      </c>
      <c r="M4" s="36" t="s">
        <v>1531</v>
      </c>
    </row>
    <row r="5" spans="1:13" ht="90" hidden="1">
      <c r="A5" s="41" t="s">
        <v>1579</v>
      </c>
      <c r="B5" s="44" t="s">
        <v>90</v>
      </c>
      <c r="C5" s="35" t="s">
        <v>1581</v>
      </c>
      <c r="D5" s="37" t="s">
        <v>82</v>
      </c>
      <c r="E5" s="37" t="s">
        <v>91</v>
      </c>
      <c r="F5" s="37" t="s">
        <v>92</v>
      </c>
      <c r="G5" s="37" t="s">
        <v>93</v>
      </c>
      <c r="H5" s="37" t="s">
        <v>86</v>
      </c>
      <c r="I5" s="37" t="s">
        <v>87</v>
      </c>
      <c r="J5" s="37" t="s">
        <v>89</v>
      </c>
      <c r="K5" s="34" t="s">
        <v>1548</v>
      </c>
      <c r="L5" s="34">
        <f t="shared" si="0"/>
        <v>1.6666666666666666E-2</v>
      </c>
      <c r="M5" s="36" t="s">
        <v>1527</v>
      </c>
    </row>
    <row r="6" spans="1:13" ht="45" hidden="1">
      <c r="A6" s="41" t="s">
        <v>1579</v>
      </c>
      <c r="B6" s="44" t="s">
        <v>94</v>
      </c>
      <c r="C6" s="37" t="s">
        <v>1583</v>
      </c>
      <c r="D6" s="37" t="s">
        <v>82</v>
      </c>
      <c r="E6" s="37" t="s">
        <v>95</v>
      </c>
      <c r="F6" s="37" t="s">
        <v>96</v>
      </c>
      <c r="G6" s="37" t="s">
        <v>97</v>
      </c>
      <c r="H6" s="37" t="s">
        <v>86</v>
      </c>
      <c r="I6" s="37" t="s">
        <v>87</v>
      </c>
      <c r="J6" s="37" t="s">
        <v>98</v>
      </c>
      <c r="K6" s="34" t="s">
        <v>1548</v>
      </c>
      <c r="L6" s="34">
        <f t="shared" si="0"/>
        <v>1.6666666666666666E-2</v>
      </c>
      <c r="M6" s="36" t="s">
        <v>1527</v>
      </c>
    </row>
    <row r="7" spans="1:13" ht="32" hidden="1">
      <c r="A7" s="41" t="s">
        <v>1579</v>
      </c>
      <c r="B7" s="44" t="s">
        <v>99</v>
      </c>
      <c r="C7" s="37" t="s">
        <v>1583</v>
      </c>
      <c r="D7" s="37" t="s">
        <v>82</v>
      </c>
      <c r="E7" s="37" t="s">
        <v>100</v>
      </c>
      <c r="F7" s="37" t="s">
        <v>96</v>
      </c>
      <c r="G7" s="37" t="s">
        <v>101</v>
      </c>
      <c r="H7" s="37" t="s">
        <v>28</v>
      </c>
      <c r="I7" s="37" t="s">
        <v>102</v>
      </c>
      <c r="J7" s="37" t="s">
        <v>103</v>
      </c>
      <c r="K7" s="34" t="s">
        <v>1548</v>
      </c>
      <c r="L7" s="34">
        <f t="shared" si="0"/>
        <v>1.6666666666666666E-2</v>
      </c>
      <c r="M7" s="36" t="s">
        <v>1527</v>
      </c>
    </row>
    <row r="8" spans="1:13" ht="60" hidden="1">
      <c r="A8" s="41" t="s">
        <v>1579</v>
      </c>
      <c r="B8" s="44" t="s">
        <v>104</v>
      </c>
      <c r="C8" s="37" t="s">
        <v>1583</v>
      </c>
      <c r="D8" s="37" t="s">
        <v>82</v>
      </c>
      <c r="E8" s="37" t="s">
        <v>105</v>
      </c>
      <c r="F8" s="37" t="s">
        <v>106</v>
      </c>
      <c r="G8" s="37" t="s">
        <v>107</v>
      </c>
      <c r="H8" s="37" t="s">
        <v>28</v>
      </c>
      <c r="I8" s="37" t="s">
        <v>102</v>
      </c>
      <c r="J8" s="37" t="s">
        <v>108</v>
      </c>
      <c r="K8" s="34" t="s">
        <v>1548</v>
      </c>
      <c r="L8" s="34">
        <f t="shared" si="0"/>
        <v>1.6666666666666666E-2</v>
      </c>
      <c r="M8" s="36" t="s">
        <v>1527</v>
      </c>
    </row>
    <row r="9" spans="1:13" ht="32" hidden="1">
      <c r="A9" s="41" t="s">
        <v>1579</v>
      </c>
      <c r="B9" s="44" t="s">
        <v>109</v>
      </c>
      <c r="C9" s="37" t="s">
        <v>1583</v>
      </c>
      <c r="D9" s="37" t="s">
        <v>82</v>
      </c>
      <c r="E9" s="37" t="s">
        <v>110</v>
      </c>
      <c r="F9" s="37" t="s">
        <v>96</v>
      </c>
      <c r="G9" s="37" t="s">
        <v>101</v>
      </c>
      <c r="H9" s="37" t="s">
        <v>28</v>
      </c>
      <c r="I9" s="37" t="s">
        <v>102</v>
      </c>
      <c r="J9" s="37" t="s">
        <v>111</v>
      </c>
      <c r="K9" s="34" t="s">
        <v>1548</v>
      </c>
      <c r="L9" s="34">
        <f t="shared" si="0"/>
        <v>1.6666666666666666E-2</v>
      </c>
      <c r="M9" s="36" t="s">
        <v>1527</v>
      </c>
    </row>
    <row r="10" spans="1:13" ht="90" hidden="1">
      <c r="A10" s="41" t="s">
        <v>1579</v>
      </c>
      <c r="B10" s="44" t="s">
        <v>112</v>
      </c>
      <c r="C10" s="35" t="s">
        <v>1581</v>
      </c>
      <c r="D10" s="37" t="s">
        <v>82</v>
      </c>
      <c r="E10" s="37" t="s">
        <v>113</v>
      </c>
      <c r="F10" s="37" t="s">
        <v>96</v>
      </c>
      <c r="G10" s="37" t="s">
        <v>114</v>
      </c>
      <c r="H10" s="37" t="s">
        <v>86</v>
      </c>
      <c r="I10" s="37" t="s">
        <v>87</v>
      </c>
      <c r="J10" s="37" t="s">
        <v>89</v>
      </c>
      <c r="K10" s="34" t="s">
        <v>1548</v>
      </c>
      <c r="L10" s="34">
        <f t="shared" si="0"/>
        <v>1.6666666666666666E-2</v>
      </c>
      <c r="M10" s="36" t="s">
        <v>1527</v>
      </c>
    </row>
    <row r="11" spans="1:13" ht="90" hidden="1">
      <c r="A11" s="41" t="s">
        <v>1579</v>
      </c>
      <c r="B11" s="44" t="s">
        <v>115</v>
      </c>
      <c r="C11" s="35" t="s">
        <v>1581</v>
      </c>
      <c r="D11" s="37" t="s">
        <v>82</v>
      </c>
      <c r="E11" s="37" t="s">
        <v>116</v>
      </c>
      <c r="F11" s="37" t="s">
        <v>96</v>
      </c>
      <c r="G11" s="37" t="s">
        <v>117</v>
      </c>
      <c r="H11" s="37" t="s">
        <v>86</v>
      </c>
      <c r="I11" s="37" t="s">
        <v>87</v>
      </c>
      <c r="J11" s="37" t="s">
        <v>89</v>
      </c>
      <c r="K11" s="34" t="s">
        <v>1548</v>
      </c>
      <c r="L11" s="34">
        <f t="shared" si="0"/>
        <v>1.6666666666666666E-2</v>
      </c>
      <c r="M11" s="36" t="s">
        <v>1527</v>
      </c>
    </row>
    <row r="12" spans="1:13" ht="32" hidden="1">
      <c r="A12" s="41" t="s">
        <v>1579</v>
      </c>
      <c r="B12" s="44" t="s">
        <v>118</v>
      </c>
      <c r="C12" s="35" t="s">
        <v>1581</v>
      </c>
      <c r="D12" s="37" t="s">
        <v>82</v>
      </c>
      <c r="E12" s="37" t="s">
        <v>119</v>
      </c>
      <c r="F12" s="37" t="s">
        <v>96</v>
      </c>
      <c r="G12" s="37" t="s">
        <v>117</v>
      </c>
      <c r="H12" s="37" t="s">
        <v>28</v>
      </c>
      <c r="I12" s="37" t="s">
        <v>120</v>
      </c>
      <c r="J12" s="37" t="s">
        <v>121</v>
      </c>
      <c r="K12" s="34" t="s">
        <v>1548</v>
      </c>
      <c r="L12" s="34">
        <f t="shared" si="0"/>
        <v>1.6666666666666666E-2</v>
      </c>
      <c r="M12" s="36" t="s">
        <v>1527</v>
      </c>
    </row>
    <row r="13" spans="1:13" ht="32" hidden="1">
      <c r="A13" s="41" t="s">
        <v>1579</v>
      </c>
      <c r="B13" s="44" t="s">
        <v>122</v>
      </c>
      <c r="C13" s="35" t="s">
        <v>1581</v>
      </c>
      <c r="D13" s="37" t="s">
        <v>82</v>
      </c>
      <c r="E13" s="37" t="s">
        <v>123</v>
      </c>
      <c r="F13" s="37" t="s">
        <v>96</v>
      </c>
      <c r="G13" s="37" t="s">
        <v>117</v>
      </c>
      <c r="H13" s="37" t="s">
        <v>86</v>
      </c>
      <c r="I13" s="37" t="s">
        <v>87</v>
      </c>
      <c r="J13" s="37" t="s">
        <v>124</v>
      </c>
      <c r="K13" s="34" t="s">
        <v>1548</v>
      </c>
      <c r="L13" s="34">
        <f t="shared" si="0"/>
        <v>1.6666666666666666E-2</v>
      </c>
      <c r="M13" s="36" t="s">
        <v>1527</v>
      </c>
    </row>
    <row r="14" spans="1:13" ht="90" hidden="1">
      <c r="A14" s="41" t="s">
        <v>1579</v>
      </c>
      <c r="B14" s="44" t="s">
        <v>125</v>
      </c>
      <c r="C14" s="35" t="s">
        <v>1581</v>
      </c>
      <c r="D14" s="37" t="s">
        <v>82</v>
      </c>
      <c r="E14" s="37" t="s">
        <v>126</v>
      </c>
      <c r="F14" s="37" t="s">
        <v>96</v>
      </c>
      <c r="G14" s="37" t="s">
        <v>117</v>
      </c>
      <c r="H14" s="37" t="s">
        <v>86</v>
      </c>
      <c r="I14" s="37" t="s">
        <v>87</v>
      </c>
      <c r="J14" s="37" t="s">
        <v>89</v>
      </c>
      <c r="K14" s="34" t="s">
        <v>1548</v>
      </c>
      <c r="L14" s="34">
        <f t="shared" si="0"/>
        <v>1.6666666666666666E-2</v>
      </c>
      <c r="M14" s="36" t="s">
        <v>1527</v>
      </c>
    </row>
    <row r="15" spans="1:13" ht="90" hidden="1">
      <c r="A15" s="41" t="s">
        <v>1579</v>
      </c>
      <c r="B15" s="44" t="s">
        <v>127</v>
      </c>
      <c r="C15" s="35" t="s">
        <v>1581</v>
      </c>
      <c r="D15" s="37" t="s">
        <v>82</v>
      </c>
      <c r="E15" s="37" t="s">
        <v>128</v>
      </c>
      <c r="F15" s="37" t="s">
        <v>92</v>
      </c>
      <c r="G15" s="37" t="s">
        <v>129</v>
      </c>
      <c r="H15" s="37" t="s">
        <v>86</v>
      </c>
      <c r="I15" s="37" t="s">
        <v>87</v>
      </c>
      <c r="J15" s="37" t="s">
        <v>89</v>
      </c>
      <c r="K15" s="34" t="s">
        <v>1548</v>
      </c>
      <c r="L15" s="34">
        <f t="shared" si="0"/>
        <v>1.6666666666666666E-2</v>
      </c>
      <c r="M15" s="36" t="s">
        <v>1527</v>
      </c>
    </row>
    <row r="16" spans="1:13" ht="32" hidden="1">
      <c r="A16" s="41" t="s">
        <v>1579</v>
      </c>
      <c r="B16" s="44" t="s">
        <v>130</v>
      </c>
      <c r="C16" s="35" t="s">
        <v>1581</v>
      </c>
      <c r="D16" s="37" t="s">
        <v>82</v>
      </c>
      <c r="E16" s="37" t="s">
        <v>131</v>
      </c>
      <c r="F16" s="37" t="s">
        <v>96</v>
      </c>
      <c r="G16" s="37" t="s">
        <v>132</v>
      </c>
      <c r="H16" s="37" t="s">
        <v>86</v>
      </c>
      <c r="I16" s="37" t="s">
        <v>87</v>
      </c>
      <c r="J16" s="37" t="s">
        <v>133</v>
      </c>
      <c r="K16" s="34" t="s">
        <v>1548</v>
      </c>
      <c r="L16" s="34">
        <f t="shared" si="0"/>
        <v>1.6666666666666666E-2</v>
      </c>
      <c r="M16" s="36" t="s">
        <v>1527</v>
      </c>
    </row>
    <row r="17" spans="1:13" ht="90" hidden="1">
      <c r="A17" s="41" t="s">
        <v>1579</v>
      </c>
      <c r="B17" s="44" t="s">
        <v>134</v>
      </c>
      <c r="C17" s="37" t="s">
        <v>1583</v>
      </c>
      <c r="D17" s="37" t="s">
        <v>82</v>
      </c>
      <c r="E17" s="37" t="s">
        <v>135</v>
      </c>
      <c r="F17" s="37" t="s">
        <v>136</v>
      </c>
      <c r="G17" s="37" t="s">
        <v>137</v>
      </c>
      <c r="H17" s="37" t="s">
        <v>86</v>
      </c>
      <c r="I17" s="37" t="s">
        <v>87</v>
      </c>
      <c r="J17" s="37" t="s">
        <v>89</v>
      </c>
      <c r="K17" s="34" t="s">
        <v>1548</v>
      </c>
      <c r="L17" s="34">
        <f t="shared" si="0"/>
        <v>1.6666666666666666E-2</v>
      </c>
      <c r="M17" s="36" t="s">
        <v>1527</v>
      </c>
    </row>
    <row r="18" spans="1:13" ht="32" hidden="1">
      <c r="A18" s="41" t="s">
        <v>1579</v>
      </c>
      <c r="B18" s="44" t="s">
        <v>138</v>
      </c>
      <c r="C18" s="37" t="s">
        <v>1583</v>
      </c>
      <c r="D18" s="37" t="s">
        <v>82</v>
      </c>
      <c r="E18" s="37" t="s">
        <v>139</v>
      </c>
      <c r="F18" s="37" t="s">
        <v>140</v>
      </c>
      <c r="G18" s="37" t="s">
        <v>141</v>
      </c>
      <c r="H18" s="37" t="s">
        <v>142</v>
      </c>
      <c r="I18" s="37" t="s">
        <v>87</v>
      </c>
      <c r="J18" s="37" t="s">
        <v>143</v>
      </c>
      <c r="K18" s="34" t="s">
        <v>1548</v>
      </c>
      <c r="L18" s="34">
        <f t="shared" si="0"/>
        <v>1.6666666666666666E-2</v>
      </c>
      <c r="M18" s="36" t="s">
        <v>1527</v>
      </c>
    </row>
    <row r="19" spans="1:13" ht="32" hidden="1">
      <c r="A19" s="41" t="s">
        <v>1579</v>
      </c>
      <c r="B19" s="44" t="s">
        <v>144</v>
      </c>
      <c r="C19" s="37" t="s">
        <v>1581</v>
      </c>
      <c r="D19" s="37" t="s">
        <v>82</v>
      </c>
      <c r="E19" s="37" t="s">
        <v>145</v>
      </c>
      <c r="F19" s="37" t="s">
        <v>140</v>
      </c>
      <c r="G19" s="37" t="s">
        <v>141</v>
      </c>
      <c r="H19" s="37" t="s">
        <v>142</v>
      </c>
      <c r="I19" s="37" t="s">
        <v>87</v>
      </c>
      <c r="J19" s="37" t="s">
        <v>143</v>
      </c>
      <c r="K19" s="34" t="s">
        <v>1548</v>
      </c>
      <c r="L19" s="34">
        <f t="shared" si="0"/>
        <v>1.6666666666666666E-2</v>
      </c>
      <c r="M19" s="36" t="s">
        <v>1527</v>
      </c>
    </row>
    <row r="20" spans="1:13" ht="105" hidden="1">
      <c r="A20" s="41" t="s">
        <v>1579</v>
      </c>
      <c r="B20" s="44" t="s">
        <v>146</v>
      </c>
      <c r="C20" s="37" t="s">
        <v>1583</v>
      </c>
      <c r="D20" s="37" t="s">
        <v>82</v>
      </c>
      <c r="E20" s="37" t="s">
        <v>147</v>
      </c>
      <c r="F20" s="37" t="s">
        <v>84</v>
      </c>
      <c r="G20" s="37" t="s">
        <v>148</v>
      </c>
      <c r="H20" s="37" t="s">
        <v>86</v>
      </c>
      <c r="I20" s="37" t="s">
        <v>87</v>
      </c>
      <c r="J20" s="37" t="s">
        <v>149</v>
      </c>
      <c r="K20" s="34" t="s">
        <v>1548</v>
      </c>
      <c r="L20" s="34">
        <f t="shared" si="0"/>
        <v>1.6666666666666666E-2</v>
      </c>
      <c r="M20" s="36" t="s">
        <v>1527</v>
      </c>
    </row>
    <row r="21" spans="1:13" ht="32" hidden="1">
      <c r="A21" s="41" t="s">
        <v>1579</v>
      </c>
      <c r="B21" s="44" t="s">
        <v>150</v>
      </c>
      <c r="C21" s="37" t="s">
        <v>1583</v>
      </c>
      <c r="D21" s="37" t="s">
        <v>82</v>
      </c>
      <c r="E21" s="37" t="s">
        <v>151</v>
      </c>
      <c r="F21" s="37" t="s">
        <v>152</v>
      </c>
      <c r="G21" s="37" t="s">
        <v>153</v>
      </c>
      <c r="H21" s="37" t="s">
        <v>86</v>
      </c>
      <c r="I21" s="37" t="s">
        <v>87</v>
      </c>
      <c r="J21" s="37" t="s">
        <v>154</v>
      </c>
      <c r="K21" s="34" t="s">
        <v>1548</v>
      </c>
      <c r="L21" s="34">
        <f t="shared" si="0"/>
        <v>1.6666666666666666E-2</v>
      </c>
      <c r="M21" s="36" t="s">
        <v>1527</v>
      </c>
    </row>
    <row r="22" spans="1:13" ht="32" hidden="1">
      <c r="A22" s="41" t="s">
        <v>1579</v>
      </c>
      <c r="B22" s="44" t="s">
        <v>155</v>
      </c>
      <c r="C22" s="37" t="s">
        <v>1583</v>
      </c>
      <c r="D22" s="37" t="s">
        <v>82</v>
      </c>
      <c r="E22" s="37" t="s">
        <v>156</v>
      </c>
      <c r="F22" s="37" t="s">
        <v>96</v>
      </c>
      <c r="G22" s="37" t="s">
        <v>157</v>
      </c>
      <c r="H22" s="37" t="s">
        <v>142</v>
      </c>
      <c r="I22" s="37" t="s">
        <v>87</v>
      </c>
      <c r="J22" s="37" t="s">
        <v>143</v>
      </c>
      <c r="K22" s="34" t="s">
        <v>1548</v>
      </c>
      <c r="L22" s="34">
        <f t="shared" si="0"/>
        <v>1.6666666666666666E-2</v>
      </c>
      <c r="M22" s="36" t="s">
        <v>1527</v>
      </c>
    </row>
    <row r="23" spans="1:13" ht="32" hidden="1">
      <c r="A23" s="41" t="s">
        <v>1579</v>
      </c>
      <c r="B23" s="44" t="s">
        <v>158</v>
      </c>
      <c r="C23" s="37" t="s">
        <v>1583</v>
      </c>
      <c r="D23" s="37" t="s">
        <v>82</v>
      </c>
      <c r="E23" s="37" t="s">
        <v>159</v>
      </c>
      <c r="F23" s="37" t="s">
        <v>96</v>
      </c>
      <c r="G23" s="37" t="s">
        <v>160</v>
      </c>
      <c r="H23" s="37" t="s">
        <v>28</v>
      </c>
      <c r="I23" s="37" t="s">
        <v>161</v>
      </c>
      <c r="J23" s="37" t="s">
        <v>133</v>
      </c>
      <c r="K23" s="34" t="s">
        <v>1548</v>
      </c>
      <c r="L23" s="34">
        <f t="shared" si="0"/>
        <v>1.6666666666666666E-2</v>
      </c>
      <c r="M23" s="36" t="s">
        <v>1527</v>
      </c>
    </row>
    <row r="24" spans="1:13" ht="32" hidden="1">
      <c r="A24" s="41" t="s">
        <v>1579</v>
      </c>
      <c r="B24" s="44" t="s">
        <v>162</v>
      </c>
      <c r="C24" s="37" t="s">
        <v>1583</v>
      </c>
      <c r="D24" s="37" t="s">
        <v>82</v>
      </c>
      <c r="E24" s="37" t="s">
        <v>163</v>
      </c>
      <c r="F24" s="37" t="s">
        <v>164</v>
      </c>
      <c r="G24" s="37" t="s">
        <v>165</v>
      </c>
      <c r="H24" s="37" t="s">
        <v>28</v>
      </c>
      <c r="I24" s="37" t="s">
        <v>161</v>
      </c>
      <c r="J24" s="37" t="s">
        <v>133</v>
      </c>
      <c r="K24" s="34" t="s">
        <v>1548</v>
      </c>
      <c r="L24" s="34">
        <f t="shared" si="0"/>
        <v>1.6666666666666666E-2</v>
      </c>
      <c r="M24" s="36" t="s">
        <v>1527</v>
      </c>
    </row>
    <row r="25" spans="1:13" ht="32" hidden="1">
      <c r="A25" s="41" t="s">
        <v>1579</v>
      </c>
      <c r="B25" s="44" t="s">
        <v>166</v>
      </c>
      <c r="C25" s="37" t="s">
        <v>1583</v>
      </c>
      <c r="D25" s="37" t="s">
        <v>82</v>
      </c>
      <c r="E25" s="37" t="s">
        <v>167</v>
      </c>
      <c r="F25" s="37" t="s">
        <v>168</v>
      </c>
      <c r="G25" s="37" t="s">
        <v>169</v>
      </c>
      <c r="H25" s="37" t="s">
        <v>28</v>
      </c>
      <c r="I25" s="37" t="s">
        <v>161</v>
      </c>
      <c r="J25" s="37" t="s">
        <v>133</v>
      </c>
      <c r="K25" s="34" t="s">
        <v>1548</v>
      </c>
      <c r="L25" s="34">
        <f t="shared" si="0"/>
        <v>1.6666666666666666E-2</v>
      </c>
      <c r="M25" s="36" t="s">
        <v>1527</v>
      </c>
    </row>
    <row r="26" spans="1:13" ht="45" hidden="1">
      <c r="A26" s="41" t="s">
        <v>1579</v>
      </c>
      <c r="B26" s="44" t="s">
        <v>170</v>
      </c>
      <c r="C26" s="37" t="s">
        <v>1584</v>
      </c>
      <c r="D26" s="37" t="s">
        <v>82</v>
      </c>
      <c r="E26" s="37" t="s">
        <v>171</v>
      </c>
      <c r="F26" s="37" t="s">
        <v>96</v>
      </c>
      <c r="G26" s="37" t="s">
        <v>117</v>
      </c>
      <c r="H26" s="37" t="s">
        <v>86</v>
      </c>
      <c r="I26" s="37" t="s">
        <v>172</v>
      </c>
      <c r="J26" s="37" t="s">
        <v>173</v>
      </c>
      <c r="K26" s="34" t="s">
        <v>1548</v>
      </c>
      <c r="L26" s="34">
        <f t="shared" si="0"/>
        <v>1.6666666666666666E-2</v>
      </c>
      <c r="M26" s="36"/>
    </row>
    <row r="27" spans="1:13" ht="32" hidden="1">
      <c r="A27" s="41" t="s">
        <v>1579</v>
      </c>
      <c r="B27" s="44" t="s">
        <v>174</v>
      </c>
      <c r="C27" s="37" t="s">
        <v>1584</v>
      </c>
      <c r="D27" s="37" t="s">
        <v>82</v>
      </c>
      <c r="E27" s="37" t="s">
        <v>175</v>
      </c>
      <c r="F27" s="37" t="s">
        <v>176</v>
      </c>
      <c r="G27" s="37" t="s">
        <v>177</v>
      </c>
      <c r="H27" s="37" t="s">
        <v>86</v>
      </c>
      <c r="I27" s="37" t="s">
        <v>172</v>
      </c>
      <c r="J27" s="37" t="s">
        <v>173</v>
      </c>
      <c r="K27" s="34" t="s">
        <v>1548</v>
      </c>
      <c r="L27" s="34">
        <f t="shared" si="0"/>
        <v>1.6666666666666666E-2</v>
      </c>
      <c r="M27" s="36"/>
    </row>
    <row r="28" spans="1:13" ht="90" hidden="1">
      <c r="A28" s="41" t="s">
        <v>1579</v>
      </c>
      <c r="B28" s="44" t="s">
        <v>178</v>
      </c>
      <c r="C28" s="37" t="s">
        <v>1583</v>
      </c>
      <c r="D28" s="37" t="s">
        <v>82</v>
      </c>
      <c r="E28" s="37" t="s">
        <v>179</v>
      </c>
      <c r="F28" s="37" t="s">
        <v>180</v>
      </c>
      <c r="G28" s="37" t="s">
        <v>181</v>
      </c>
      <c r="H28" s="37" t="s">
        <v>86</v>
      </c>
      <c r="I28" s="37" t="s">
        <v>87</v>
      </c>
      <c r="J28" s="37" t="s">
        <v>173</v>
      </c>
      <c r="K28" s="34" t="s">
        <v>1548</v>
      </c>
      <c r="L28" s="34">
        <f t="shared" si="0"/>
        <v>1.6666666666666666E-2</v>
      </c>
      <c r="M28" s="38" t="s">
        <v>1528</v>
      </c>
    </row>
    <row r="29" spans="1:13" ht="90" hidden="1">
      <c r="A29" s="41" t="s">
        <v>1579</v>
      </c>
      <c r="B29" s="44" t="s">
        <v>183</v>
      </c>
      <c r="C29" s="37" t="s">
        <v>1583</v>
      </c>
      <c r="D29" s="37" t="s">
        <v>82</v>
      </c>
      <c r="E29" s="37" t="s">
        <v>184</v>
      </c>
      <c r="F29" s="37" t="s">
        <v>84</v>
      </c>
      <c r="G29" s="37" t="s">
        <v>1556</v>
      </c>
      <c r="H29" s="37" t="s">
        <v>86</v>
      </c>
      <c r="I29" s="37" t="s">
        <v>185</v>
      </c>
      <c r="J29" s="37" t="s">
        <v>173</v>
      </c>
      <c r="K29" s="34" t="s">
        <v>1550</v>
      </c>
      <c r="L29" s="34">
        <f t="shared" si="0"/>
        <v>1.6666666666666666E-2</v>
      </c>
      <c r="M29" s="38" t="s">
        <v>1529</v>
      </c>
    </row>
    <row r="30" spans="1:13" ht="120" hidden="1">
      <c r="A30" s="41" t="s">
        <v>1579</v>
      </c>
      <c r="B30" s="45" t="s">
        <v>1558</v>
      </c>
      <c r="C30" s="37" t="s">
        <v>1584</v>
      </c>
      <c r="D30" s="37" t="s">
        <v>82</v>
      </c>
      <c r="E30" s="37" t="s">
        <v>186</v>
      </c>
      <c r="F30" s="37" t="s">
        <v>180</v>
      </c>
      <c r="G30" s="37" t="s">
        <v>187</v>
      </c>
      <c r="H30" s="37" t="s">
        <v>28</v>
      </c>
      <c r="I30" s="37" t="s">
        <v>188</v>
      </c>
      <c r="J30" s="37" t="s">
        <v>143</v>
      </c>
      <c r="K30" s="34" t="s">
        <v>1550</v>
      </c>
      <c r="L30" s="34">
        <f t="shared" si="0"/>
        <v>1.6666666666666666E-2</v>
      </c>
      <c r="M30" s="38" t="s">
        <v>1557</v>
      </c>
    </row>
    <row r="31" spans="1:13" ht="150" hidden="1">
      <c r="A31" s="41" t="s">
        <v>1579</v>
      </c>
      <c r="B31" s="44" t="s">
        <v>189</v>
      </c>
      <c r="C31" s="37" t="s">
        <v>1583</v>
      </c>
      <c r="D31" s="37" t="s">
        <v>82</v>
      </c>
      <c r="E31" s="37" t="s">
        <v>190</v>
      </c>
      <c r="F31" s="37" t="s">
        <v>84</v>
      </c>
      <c r="G31" s="37" t="s">
        <v>1559</v>
      </c>
      <c r="H31" s="37" t="s">
        <v>142</v>
      </c>
      <c r="I31" s="37" t="s">
        <v>87</v>
      </c>
      <c r="J31" s="37" t="s">
        <v>143</v>
      </c>
      <c r="K31" s="34" t="s">
        <v>1548</v>
      </c>
      <c r="L31" s="34">
        <f t="shared" si="0"/>
        <v>1.6666666666666666E-2</v>
      </c>
      <c r="M31" s="38" t="s">
        <v>1530</v>
      </c>
    </row>
    <row r="32" spans="1:13" ht="150" hidden="1">
      <c r="A32" s="41" t="s">
        <v>1579</v>
      </c>
      <c r="B32" s="44" t="s">
        <v>193</v>
      </c>
      <c r="C32" s="48" t="s">
        <v>1587</v>
      </c>
      <c r="D32" s="37" t="s">
        <v>82</v>
      </c>
      <c r="E32" s="37" t="s">
        <v>194</v>
      </c>
      <c r="F32" s="37" t="s">
        <v>84</v>
      </c>
      <c r="G32" s="37" t="s">
        <v>1559</v>
      </c>
      <c r="H32" s="37" t="s">
        <v>86</v>
      </c>
      <c r="I32" s="37" t="s">
        <v>87</v>
      </c>
      <c r="J32" s="37" t="s">
        <v>89</v>
      </c>
      <c r="K32" s="34" t="s">
        <v>1548</v>
      </c>
      <c r="L32" s="34">
        <f t="shared" si="0"/>
        <v>1.6666666666666666E-2</v>
      </c>
      <c r="M32" s="38" t="s">
        <v>1530</v>
      </c>
    </row>
    <row r="33" spans="1:13" ht="32" hidden="1">
      <c r="A33" s="41" t="s">
        <v>1579</v>
      </c>
      <c r="B33" s="44" t="s">
        <v>195</v>
      </c>
      <c r="C33" s="48" t="s">
        <v>1587</v>
      </c>
      <c r="D33" s="37" t="s">
        <v>82</v>
      </c>
      <c r="E33" s="37" t="s">
        <v>196</v>
      </c>
      <c r="F33" s="37" t="s">
        <v>176</v>
      </c>
      <c r="G33" s="37" t="s">
        <v>197</v>
      </c>
      <c r="H33" s="37" t="s">
        <v>86</v>
      </c>
      <c r="I33" s="37" t="s">
        <v>87</v>
      </c>
      <c r="J33" s="37" t="s">
        <v>198</v>
      </c>
      <c r="K33" s="34" t="s">
        <v>1548</v>
      </c>
      <c r="L33" s="34">
        <f t="shared" si="0"/>
        <v>1.6666666666666666E-2</v>
      </c>
      <c r="M33" s="39" t="s">
        <v>1532</v>
      </c>
    </row>
    <row r="34" spans="1:13" ht="32" hidden="1">
      <c r="A34" s="41" t="s">
        <v>1579</v>
      </c>
      <c r="B34" s="44" t="s">
        <v>199</v>
      </c>
      <c r="C34" s="48" t="s">
        <v>1587</v>
      </c>
      <c r="D34" s="37" t="s">
        <v>82</v>
      </c>
      <c r="E34" s="37" t="s">
        <v>200</v>
      </c>
      <c r="F34" s="37" t="s">
        <v>201</v>
      </c>
      <c r="G34" s="37" t="s">
        <v>117</v>
      </c>
      <c r="H34" s="37" t="s">
        <v>28</v>
      </c>
      <c r="I34" s="37" t="s">
        <v>202</v>
      </c>
      <c r="J34" s="37" t="s">
        <v>198</v>
      </c>
      <c r="K34" s="34" t="s">
        <v>1550</v>
      </c>
      <c r="L34" s="34">
        <f t="shared" si="0"/>
        <v>1.6666666666666666E-2</v>
      </c>
      <c r="M34" s="39" t="s">
        <v>1532</v>
      </c>
    </row>
    <row r="35" spans="1:13" ht="45" hidden="1">
      <c r="A35" s="41" t="s">
        <v>1579</v>
      </c>
      <c r="B35" s="44" t="s">
        <v>203</v>
      </c>
      <c r="C35" s="48" t="s">
        <v>1587</v>
      </c>
      <c r="D35" s="37" t="s">
        <v>82</v>
      </c>
      <c r="E35" s="37" t="s">
        <v>204</v>
      </c>
      <c r="F35" s="37" t="s">
        <v>176</v>
      </c>
      <c r="G35" s="37" t="s">
        <v>177</v>
      </c>
      <c r="H35" s="37" t="s">
        <v>28</v>
      </c>
      <c r="I35" s="37" t="s">
        <v>202</v>
      </c>
      <c r="J35" s="37" t="s">
        <v>198</v>
      </c>
      <c r="K35" s="34" t="s">
        <v>1548</v>
      </c>
      <c r="L35" s="34">
        <f t="shared" si="0"/>
        <v>1.6666666666666666E-2</v>
      </c>
      <c r="M35" s="39" t="s">
        <v>1532</v>
      </c>
    </row>
    <row r="36" spans="1:13" ht="45" hidden="1">
      <c r="A36" s="41" t="s">
        <v>1579</v>
      </c>
      <c r="B36" s="44" t="s">
        <v>205</v>
      </c>
      <c r="C36" s="48" t="s">
        <v>1587</v>
      </c>
      <c r="D36" s="37" t="s">
        <v>82</v>
      </c>
      <c r="E36" s="37" t="s">
        <v>206</v>
      </c>
      <c r="F36" s="37" t="s">
        <v>96</v>
      </c>
      <c r="G36" s="37" t="s">
        <v>207</v>
      </c>
      <c r="H36" s="37" t="s">
        <v>28</v>
      </c>
      <c r="I36" s="37" t="s">
        <v>208</v>
      </c>
      <c r="J36" s="37" t="s">
        <v>143</v>
      </c>
      <c r="K36" s="34" t="s">
        <v>1548</v>
      </c>
      <c r="L36" s="34">
        <f t="shared" si="0"/>
        <v>1.6666666666666666E-2</v>
      </c>
      <c r="M36" s="39" t="s">
        <v>1532</v>
      </c>
    </row>
    <row r="37" spans="1:13" ht="90" hidden="1">
      <c r="A37" s="41" t="s">
        <v>1579</v>
      </c>
      <c r="B37" s="44" t="s">
        <v>209</v>
      </c>
      <c r="C37" s="37" t="s">
        <v>1582</v>
      </c>
      <c r="D37" s="37" t="s">
        <v>82</v>
      </c>
      <c r="E37" s="37" t="s">
        <v>211</v>
      </c>
      <c r="F37" s="37" t="s">
        <v>84</v>
      </c>
      <c r="G37" s="37" t="s">
        <v>1560</v>
      </c>
      <c r="H37" s="37" t="s">
        <v>212</v>
      </c>
      <c r="I37" s="37" t="s">
        <v>213</v>
      </c>
      <c r="J37" s="37" t="s">
        <v>214</v>
      </c>
      <c r="K37" s="34" t="s">
        <v>1550</v>
      </c>
      <c r="L37" s="34">
        <f t="shared" si="0"/>
        <v>1.6666666666666666E-2</v>
      </c>
      <c r="M37" s="39" t="s">
        <v>1527</v>
      </c>
    </row>
    <row r="38" spans="1:13" ht="60" hidden="1">
      <c r="A38" s="41" t="s">
        <v>1579</v>
      </c>
      <c r="B38" s="44" t="s">
        <v>215</v>
      </c>
      <c r="C38" s="37" t="s">
        <v>1582</v>
      </c>
      <c r="D38" s="37" t="s">
        <v>82</v>
      </c>
      <c r="E38" s="37" t="s">
        <v>216</v>
      </c>
      <c r="F38" s="37" t="s">
        <v>84</v>
      </c>
      <c r="G38" s="37" t="s">
        <v>1561</v>
      </c>
      <c r="H38" s="37" t="s">
        <v>212</v>
      </c>
      <c r="I38" s="37" t="s">
        <v>213</v>
      </c>
      <c r="J38" s="37" t="s">
        <v>214</v>
      </c>
      <c r="K38" s="34" t="s">
        <v>1550</v>
      </c>
      <c r="L38" s="34">
        <f t="shared" si="0"/>
        <v>1.6666666666666666E-2</v>
      </c>
      <c r="M38" s="40" t="s">
        <v>1527</v>
      </c>
    </row>
    <row r="39" spans="1:13" ht="75" hidden="1">
      <c r="A39" s="41" t="s">
        <v>1579</v>
      </c>
      <c r="B39" s="44" t="s">
        <v>217</v>
      </c>
      <c r="C39" s="37" t="s">
        <v>1582</v>
      </c>
      <c r="D39" s="37" t="s">
        <v>82</v>
      </c>
      <c r="E39" s="37" t="s">
        <v>218</v>
      </c>
      <c r="F39" s="37" t="s">
        <v>84</v>
      </c>
      <c r="G39" s="37" t="s">
        <v>219</v>
      </c>
      <c r="H39" s="37" t="s">
        <v>212</v>
      </c>
      <c r="I39" s="37" t="s">
        <v>213</v>
      </c>
      <c r="J39" s="37" t="s">
        <v>214</v>
      </c>
      <c r="K39" s="34" t="s">
        <v>1548</v>
      </c>
      <c r="L39" s="34">
        <f t="shared" si="0"/>
        <v>1.6666666666666666E-2</v>
      </c>
      <c r="M39" s="40" t="s">
        <v>1527</v>
      </c>
    </row>
    <row r="40" spans="1:13" ht="32" hidden="1">
      <c r="A40" s="41" t="s">
        <v>1579</v>
      </c>
      <c r="B40" s="44" t="s">
        <v>220</v>
      </c>
      <c r="C40" s="37" t="s">
        <v>1582</v>
      </c>
      <c r="D40" s="37" t="s">
        <v>82</v>
      </c>
      <c r="E40" s="37" t="s">
        <v>221</v>
      </c>
      <c r="F40" s="37" t="s">
        <v>176</v>
      </c>
      <c r="G40" s="37" t="s">
        <v>1580</v>
      </c>
      <c r="H40" s="37" t="s">
        <v>212</v>
      </c>
      <c r="I40" s="37" t="s">
        <v>213</v>
      </c>
      <c r="J40" s="37" t="s">
        <v>214</v>
      </c>
      <c r="K40" s="34" t="s">
        <v>1548</v>
      </c>
      <c r="L40" s="34">
        <f t="shared" si="0"/>
        <v>1.6666666666666666E-2</v>
      </c>
      <c r="M40" s="40" t="s">
        <v>1527</v>
      </c>
    </row>
    <row r="41" spans="1:13" ht="32" hidden="1">
      <c r="A41" s="41" t="s">
        <v>1579</v>
      </c>
      <c r="B41" s="44" t="s">
        <v>222</v>
      </c>
      <c r="C41" s="37" t="s">
        <v>1582</v>
      </c>
      <c r="D41" s="37" t="s">
        <v>82</v>
      </c>
      <c r="E41" s="37" t="s">
        <v>223</v>
      </c>
      <c r="F41" s="37" t="s">
        <v>176</v>
      </c>
      <c r="G41" s="37" t="s">
        <v>197</v>
      </c>
      <c r="H41" s="37" t="s">
        <v>212</v>
      </c>
      <c r="I41" s="37" t="s">
        <v>213</v>
      </c>
      <c r="J41" s="37" t="s">
        <v>214</v>
      </c>
      <c r="K41" s="34" t="s">
        <v>1550</v>
      </c>
      <c r="L41" s="34">
        <f t="shared" si="0"/>
        <v>1.6666666666666666E-2</v>
      </c>
      <c r="M41" s="40" t="s">
        <v>1527</v>
      </c>
    </row>
    <row r="42" spans="1:13" ht="32" hidden="1">
      <c r="A42" s="41" t="s">
        <v>1579</v>
      </c>
      <c r="B42" s="44" t="s">
        <v>224</v>
      </c>
      <c r="C42" s="37" t="s">
        <v>1582</v>
      </c>
      <c r="D42" s="37" t="s">
        <v>210</v>
      </c>
      <c r="E42" s="47" t="s">
        <v>225</v>
      </c>
      <c r="F42" s="37" t="s">
        <v>176</v>
      </c>
      <c r="G42" s="37" t="s">
        <v>197</v>
      </c>
      <c r="H42" s="37" t="s">
        <v>212</v>
      </c>
      <c r="I42" s="37" t="s">
        <v>213</v>
      </c>
      <c r="J42" s="37" t="s">
        <v>214</v>
      </c>
      <c r="K42" s="34" t="s">
        <v>1548</v>
      </c>
      <c r="L42" s="34">
        <f t="shared" si="0"/>
        <v>1.6666666666666666E-2</v>
      </c>
      <c r="M42" s="40" t="s">
        <v>1533</v>
      </c>
    </row>
    <row r="43" spans="1:13" ht="32" hidden="1">
      <c r="A43" s="41" t="s">
        <v>1579</v>
      </c>
      <c r="B43" s="44" t="s">
        <v>226</v>
      </c>
      <c r="C43" s="37" t="s">
        <v>1582</v>
      </c>
      <c r="D43" s="37" t="s">
        <v>210</v>
      </c>
      <c r="E43" s="47" t="s">
        <v>227</v>
      </c>
      <c r="F43" s="37" t="s">
        <v>176</v>
      </c>
      <c r="G43" s="37" t="s">
        <v>197</v>
      </c>
      <c r="H43" s="37" t="s">
        <v>212</v>
      </c>
      <c r="I43" s="37" t="s">
        <v>213</v>
      </c>
      <c r="J43" s="37" t="s">
        <v>228</v>
      </c>
      <c r="K43" s="34" t="s">
        <v>1550</v>
      </c>
      <c r="L43" s="34">
        <f t="shared" si="0"/>
        <v>1.6666666666666666E-2</v>
      </c>
      <c r="M43" s="40" t="s">
        <v>1532</v>
      </c>
    </row>
    <row r="44" spans="1:13" ht="45" hidden="1">
      <c r="A44" s="41" t="s">
        <v>1579</v>
      </c>
      <c r="B44" s="44" t="s">
        <v>229</v>
      </c>
      <c r="C44" s="37" t="s">
        <v>1582</v>
      </c>
      <c r="D44" s="37" t="s">
        <v>210</v>
      </c>
      <c r="E44" s="47" t="s">
        <v>230</v>
      </c>
      <c r="F44" s="37" t="s">
        <v>176</v>
      </c>
      <c r="G44" s="37" t="s">
        <v>197</v>
      </c>
      <c r="H44" s="37" t="s">
        <v>212</v>
      </c>
      <c r="I44" s="37" t="s">
        <v>213</v>
      </c>
      <c r="J44" s="37" t="s">
        <v>173</v>
      </c>
      <c r="K44" s="34" t="s">
        <v>1548</v>
      </c>
      <c r="L44" s="34">
        <f t="shared" si="0"/>
        <v>1.6666666666666666E-2</v>
      </c>
      <c r="M44" s="39" t="s">
        <v>231</v>
      </c>
    </row>
    <row r="45" spans="1:13" ht="45" hidden="1">
      <c r="A45" s="41" t="s">
        <v>1579</v>
      </c>
      <c r="B45" s="44" t="s">
        <v>232</v>
      </c>
      <c r="C45" s="37" t="s">
        <v>1582</v>
      </c>
      <c r="D45" s="37" t="s">
        <v>210</v>
      </c>
      <c r="E45" s="47" t="s">
        <v>233</v>
      </c>
      <c r="F45" s="37" t="s">
        <v>176</v>
      </c>
      <c r="G45" s="37" t="s">
        <v>197</v>
      </c>
      <c r="H45" s="37" t="s">
        <v>212</v>
      </c>
      <c r="I45" s="37" t="s">
        <v>213</v>
      </c>
      <c r="J45" s="37" t="s">
        <v>234</v>
      </c>
      <c r="K45" s="34" t="s">
        <v>1548</v>
      </c>
      <c r="L45" s="34">
        <f t="shared" si="0"/>
        <v>1.6666666666666666E-2</v>
      </c>
      <c r="M45" s="40" t="s">
        <v>1534</v>
      </c>
    </row>
    <row r="46" spans="1:13" ht="60" hidden="1">
      <c r="A46" s="41" t="s">
        <v>1579</v>
      </c>
      <c r="B46" s="44" t="s">
        <v>235</v>
      </c>
      <c r="C46" s="37" t="s">
        <v>1582</v>
      </c>
      <c r="D46" s="37" t="s">
        <v>210</v>
      </c>
      <c r="E46" s="47" t="s">
        <v>236</v>
      </c>
      <c r="F46" s="37" t="s">
        <v>176</v>
      </c>
      <c r="G46" s="37" t="s">
        <v>197</v>
      </c>
      <c r="H46" s="37" t="s">
        <v>212</v>
      </c>
      <c r="I46" s="37" t="s">
        <v>213</v>
      </c>
      <c r="J46" s="37" t="s">
        <v>198</v>
      </c>
      <c r="K46" s="34" t="s">
        <v>1548</v>
      </c>
      <c r="L46" s="34">
        <f t="shared" si="0"/>
        <v>1.6666666666666666E-2</v>
      </c>
      <c r="M46" s="40" t="s">
        <v>1532</v>
      </c>
    </row>
    <row r="47" spans="1:13" ht="60" hidden="1">
      <c r="A47" s="41" t="s">
        <v>1579</v>
      </c>
      <c r="B47" s="44" t="s">
        <v>237</v>
      </c>
      <c r="C47" s="37" t="s">
        <v>1582</v>
      </c>
      <c r="D47" s="37" t="s">
        <v>210</v>
      </c>
      <c r="E47" s="47" t="s">
        <v>238</v>
      </c>
      <c r="F47" s="37" t="s">
        <v>239</v>
      </c>
      <c r="G47" s="37" t="s">
        <v>240</v>
      </c>
      <c r="H47" s="37" t="s">
        <v>212</v>
      </c>
      <c r="I47" s="37" t="s">
        <v>213</v>
      </c>
      <c r="J47" s="37" t="s">
        <v>241</v>
      </c>
      <c r="K47" s="34" t="s">
        <v>1548</v>
      </c>
      <c r="L47" s="34">
        <f t="shared" si="0"/>
        <v>1.6666666666666666E-2</v>
      </c>
      <c r="M47" s="39" t="s">
        <v>1535</v>
      </c>
    </row>
    <row r="48" spans="1:13" ht="75" hidden="1">
      <c r="A48" s="41" t="s">
        <v>1579</v>
      </c>
      <c r="B48" s="44" t="s">
        <v>242</v>
      </c>
      <c r="C48" s="37" t="s">
        <v>1582</v>
      </c>
      <c r="D48" s="37" t="s">
        <v>210</v>
      </c>
      <c r="E48" s="47" t="s">
        <v>243</v>
      </c>
      <c r="F48" s="37" t="s">
        <v>244</v>
      </c>
      <c r="G48" s="37" t="s">
        <v>245</v>
      </c>
      <c r="H48" s="37" t="s">
        <v>212</v>
      </c>
      <c r="I48" s="37" t="s">
        <v>213</v>
      </c>
      <c r="J48" s="37" t="s">
        <v>246</v>
      </c>
      <c r="K48" s="34" t="s">
        <v>1548</v>
      </c>
      <c r="L48" s="34">
        <f t="shared" si="0"/>
        <v>1.6666666666666666E-2</v>
      </c>
      <c r="M48" s="40" t="s">
        <v>1536</v>
      </c>
    </row>
    <row r="49" spans="1:13" ht="90" hidden="1">
      <c r="A49" s="41" t="s">
        <v>1579</v>
      </c>
      <c r="B49" s="44" t="s">
        <v>247</v>
      </c>
      <c r="C49" s="37" t="s">
        <v>1585</v>
      </c>
      <c r="D49" s="37" t="s">
        <v>248</v>
      </c>
      <c r="E49" s="37" t="s">
        <v>249</v>
      </c>
      <c r="F49" s="37" t="s">
        <v>96</v>
      </c>
      <c r="G49" s="37" t="s">
        <v>250</v>
      </c>
      <c r="H49" s="37" t="s">
        <v>86</v>
      </c>
      <c r="I49" s="37" t="s">
        <v>185</v>
      </c>
      <c r="J49" s="37" t="s">
        <v>89</v>
      </c>
      <c r="K49" s="34" t="s">
        <v>1552</v>
      </c>
      <c r="L49" s="34">
        <f t="shared" si="0"/>
        <v>1.6666666666666666E-2</v>
      </c>
      <c r="M49" s="40" t="s">
        <v>1532</v>
      </c>
    </row>
    <row r="50" spans="1:13" ht="32" hidden="1">
      <c r="A50" s="41" t="s">
        <v>1579</v>
      </c>
      <c r="B50" s="44" t="s">
        <v>251</v>
      </c>
      <c r="C50" s="37" t="s">
        <v>1585</v>
      </c>
      <c r="D50" s="37" t="s">
        <v>248</v>
      </c>
      <c r="E50" s="37" t="s">
        <v>252</v>
      </c>
      <c r="F50" s="37" t="s">
        <v>96</v>
      </c>
      <c r="G50" s="37" t="s">
        <v>253</v>
      </c>
      <c r="H50" s="37" t="s">
        <v>28</v>
      </c>
      <c r="I50" s="37" t="s">
        <v>254</v>
      </c>
      <c r="J50" s="37" t="s">
        <v>255</v>
      </c>
      <c r="K50" s="34" t="s">
        <v>1550</v>
      </c>
      <c r="L50" s="34">
        <f t="shared" si="0"/>
        <v>1.6666666666666666E-2</v>
      </c>
      <c r="M50" s="40" t="s">
        <v>1532</v>
      </c>
    </row>
    <row r="51" spans="1:13" ht="45" hidden="1">
      <c r="A51" s="41" t="s">
        <v>1579</v>
      </c>
      <c r="B51" s="44" t="s">
        <v>256</v>
      </c>
      <c r="C51" s="37" t="s">
        <v>1585</v>
      </c>
      <c r="D51" s="37" t="s">
        <v>248</v>
      </c>
      <c r="E51" s="37" t="s">
        <v>257</v>
      </c>
      <c r="F51" s="37" t="s">
        <v>96</v>
      </c>
      <c r="G51" s="37" t="s">
        <v>258</v>
      </c>
      <c r="H51" s="37" t="s">
        <v>28</v>
      </c>
      <c r="I51" s="37" t="s">
        <v>259</v>
      </c>
      <c r="J51" s="37" t="s">
        <v>260</v>
      </c>
      <c r="K51" s="34" t="s">
        <v>1550</v>
      </c>
      <c r="L51" s="34">
        <f t="shared" si="0"/>
        <v>1.6666666666666666E-2</v>
      </c>
      <c r="M51" s="40" t="s">
        <v>1532</v>
      </c>
    </row>
    <row r="52" spans="1:13" ht="165" hidden="1">
      <c r="A52" s="41" t="s">
        <v>1579</v>
      </c>
      <c r="B52" s="44" t="s">
        <v>261</v>
      </c>
      <c r="C52" s="37" t="s">
        <v>1585</v>
      </c>
      <c r="D52" s="37" t="s">
        <v>248</v>
      </c>
      <c r="E52" s="37" t="s">
        <v>262</v>
      </c>
      <c r="F52" s="37" t="s">
        <v>84</v>
      </c>
      <c r="G52" s="37" t="s">
        <v>263</v>
      </c>
      <c r="H52" s="37" t="s">
        <v>86</v>
      </c>
      <c r="I52" s="37" t="s">
        <v>185</v>
      </c>
      <c r="J52" s="37" t="s">
        <v>264</v>
      </c>
      <c r="K52" s="34" t="s">
        <v>1548</v>
      </c>
      <c r="L52" s="34">
        <f t="shared" si="0"/>
        <v>1.6666666666666666E-2</v>
      </c>
      <c r="M52" s="40" t="s">
        <v>1572</v>
      </c>
    </row>
    <row r="53" spans="1:13" ht="32" hidden="1">
      <c r="A53" s="41" t="s">
        <v>1579</v>
      </c>
      <c r="B53" s="44" t="s">
        <v>265</v>
      </c>
      <c r="C53" s="37" t="s">
        <v>1585</v>
      </c>
      <c r="D53" s="37" t="s">
        <v>248</v>
      </c>
      <c r="E53" s="37" t="s">
        <v>266</v>
      </c>
      <c r="F53" s="37" t="s">
        <v>96</v>
      </c>
      <c r="G53" s="37" t="s">
        <v>117</v>
      </c>
      <c r="H53" s="37" t="s">
        <v>142</v>
      </c>
      <c r="I53" s="37" t="s">
        <v>185</v>
      </c>
      <c r="J53" s="37" t="s">
        <v>267</v>
      </c>
      <c r="K53" s="34" t="s">
        <v>1548</v>
      </c>
      <c r="L53" s="34">
        <f t="shared" si="0"/>
        <v>1.6666666666666666E-2</v>
      </c>
      <c r="M53" s="40" t="s">
        <v>1532</v>
      </c>
    </row>
    <row r="54" spans="1:13" ht="409.6" hidden="1">
      <c r="A54" s="41" t="s">
        <v>1579</v>
      </c>
      <c r="B54" s="44" t="s">
        <v>268</v>
      </c>
      <c r="C54" s="37" t="s">
        <v>1585</v>
      </c>
      <c r="D54" s="37" t="s">
        <v>248</v>
      </c>
      <c r="E54" s="37" t="s">
        <v>1565</v>
      </c>
      <c r="F54" s="37" t="s">
        <v>84</v>
      </c>
      <c r="G54" s="37" t="s">
        <v>1554</v>
      </c>
      <c r="H54" s="37" t="s">
        <v>86</v>
      </c>
      <c r="I54" s="37" t="s">
        <v>185</v>
      </c>
      <c r="J54" s="37" t="s">
        <v>89</v>
      </c>
      <c r="K54" s="34" t="s">
        <v>1550</v>
      </c>
      <c r="L54" s="34">
        <f t="shared" si="0"/>
        <v>1.6666666666666666E-2</v>
      </c>
      <c r="M54" s="39" t="s">
        <v>1537</v>
      </c>
    </row>
    <row r="55" spans="1:13" ht="409.6" hidden="1">
      <c r="A55" s="41" t="s">
        <v>1579</v>
      </c>
      <c r="B55" s="46" t="s">
        <v>1562</v>
      </c>
      <c r="C55" s="37" t="s">
        <v>1585</v>
      </c>
      <c r="D55" s="37" t="s">
        <v>248</v>
      </c>
      <c r="E55" s="37" t="s">
        <v>1563</v>
      </c>
      <c r="F55" s="37" t="s">
        <v>84</v>
      </c>
      <c r="G55" s="37" t="s">
        <v>1564</v>
      </c>
      <c r="H55" s="37" t="s">
        <v>86</v>
      </c>
      <c r="I55" s="37" t="s">
        <v>185</v>
      </c>
      <c r="J55" s="37" t="s">
        <v>1567</v>
      </c>
      <c r="K55" s="34" t="s">
        <v>1550</v>
      </c>
      <c r="L55" s="34">
        <f t="shared" si="0"/>
        <v>1.6666666666666666E-2</v>
      </c>
      <c r="M55" s="39" t="s">
        <v>1537</v>
      </c>
    </row>
    <row r="56" spans="1:13" ht="409.6" hidden="1">
      <c r="A56" s="41" t="s">
        <v>1579</v>
      </c>
      <c r="B56" s="46" t="s">
        <v>1566</v>
      </c>
      <c r="C56" s="37" t="s">
        <v>1585</v>
      </c>
      <c r="D56" s="37" t="s">
        <v>248</v>
      </c>
      <c r="E56" s="37" t="s">
        <v>1568</v>
      </c>
      <c r="F56" s="37" t="s">
        <v>84</v>
      </c>
      <c r="G56" s="37" t="s">
        <v>1569</v>
      </c>
      <c r="H56" s="37" t="s">
        <v>86</v>
      </c>
      <c r="I56" s="37" t="s">
        <v>185</v>
      </c>
      <c r="J56" s="37" t="s">
        <v>1567</v>
      </c>
      <c r="K56" s="34" t="s">
        <v>1550</v>
      </c>
      <c r="L56" s="34">
        <f t="shared" si="0"/>
        <v>1.6666666666666666E-2</v>
      </c>
      <c r="M56" s="39" t="s">
        <v>1537</v>
      </c>
    </row>
    <row r="57" spans="1:13" ht="409.6" hidden="1">
      <c r="A57" s="41" t="s">
        <v>1579</v>
      </c>
      <c r="B57" s="46" t="s">
        <v>1570</v>
      </c>
      <c r="C57" s="37" t="s">
        <v>1585</v>
      </c>
      <c r="D57" s="37" t="s">
        <v>248</v>
      </c>
      <c r="E57" s="37" t="s">
        <v>1571</v>
      </c>
      <c r="F57" s="37" t="s">
        <v>84</v>
      </c>
      <c r="G57" s="37" t="s">
        <v>1573</v>
      </c>
      <c r="H57" s="37" t="s">
        <v>86</v>
      </c>
      <c r="I57" s="37" t="s">
        <v>185</v>
      </c>
      <c r="J57" s="37" t="s">
        <v>1567</v>
      </c>
      <c r="K57" s="34" t="s">
        <v>1550</v>
      </c>
      <c r="L57" s="34">
        <f t="shared" si="0"/>
        <v>1.6666666666666666E-2</v>
      </c>
      <c r="M57" s="39" t="s">
        <v>1537</v>
      </c>
    </row>
    <row r="58" spans="1:13" ht="384" hidden="1">
      <c r="A58" s="41" t="s">
        <v>1579</v>
      </c>
      <c r="B58" s="46" t="s">
        <v>1574</v>
      </c>
      <c r="C58" s="37" t="s">
        <v>1585</v>
      </c>
      <c r="D58" s="37" t="s">
        <v>248</v>
      </c>
      <c r="E58" s="37" t="s">
        <v>1575</v>
      </c>
      <c r="F58" s="37" t="s">
        <v>84</v>
      </c>
      <c r="G58" s="37" t="s">
        <v>1576</v>
      </c>
      <c r="H58" s="37" t="s">
        <v>86</v>
      </c>
      <c r="I58" s="37" t="s">
        <v>185</v>
      </c>
      <c r="J58" s="37" t="s">
        <v>1567</v>
      </c>
      <c r="K58" s="34" t="s">
        <v>1550</v>
      </c>
      <c r="L58" s="34">
        <f t="shared" si="0"/>
        <v>1.6666666666666666E-2</v>
      </c>
      <c r="M58" s="39" t="s">
        <v>1537</v>
      </c>
    </row>
    <row r="59" spans="1:13" ht="90" hidden="1">
      <c r="A59" s="41" t="s">
        <v>1579</v>
      </c>
      <c r="B59" s="44" t="s">
        <v>269</v>
      </c>
      <c r="C59" s="37" t="s">
        <v>1585</v>
      </c>
      <c r="D59" s="37" t="s">
        <v>248</v>
      </c>
      <c r="E59" s="37" t="s">
        <v>270</v>
      </c>
      <c r="F59" s="37" t="s">
        <v>96</v>
      </c>
      <c r="G59" s="37" t="s">
        <v>117</v>
      </c>
      <c r="H59" s="37" t="s">
        <v>86</v>
      </c>
      <c r="I59" s="37" t="s">
        <v>185</v>
      </c>
      <c r="J59" s="37" t="s">
        <v>89</v>
      </c>
      <c r="K59" s="34" t="s">
        <v>1550</v>
      </c>
      <c r="L59" s="34">
        <f t="shared" si="0"/>
        <v>1.6666666666666666E-2</v>
      </c>
      <c r="M59" s="39" t="s">
        <v>1532</v>
      </c>
    </row>
    <row r="60" spans="1:13" ht="90" hidden="1">
      <c r="A60" s="41" t="s">
        <v>1579</v>
      </c>
      <c r="B60" s="44" t="s">
        <v>271</v>
      </c>
      <c r="C60" s="37" t="s">
        <v>1585</v>
      </c>
      <c r="D60" s="37" t="s">
        <v>248</v>
      </c>
      <c r="E60" s="37" t="s">
        <v>272</v>
      </c>
      <c r="F60" s="37" t="s">
        <v>96</v>
      </c>
      <c r="G60" s="37" t="s">
        <v>117</v>
      </c>
      <c r="H60" s="37" t="s">
        <v>86</v>
      </c>
      <c r="I60" s="37" t="s">
        <v>185</v>
      </c>
      <c r="J60" s="37" t="s">
        <v>89</v>
      </c>
      <c r="K60" s="34" t="s">
        <v>1550</v>
      </c>
      <c r="L60" s="34">
        <f t="shared" si="0"/>
        <v>1.6666666666666666E-2</v>
      </c>
      <c r="M60" s="39" t="s">
        <v>1532</v>
      </c>
    </row>
    <row r="61" spans="1:13" ht="32" hidden="1">
      <c r="A61" s="41" t="s">
        <v>1579</v>
      </c>
      <c r="B61" s="44" t="s">
        <v>273</v>
      </c>
      <c r="C61" s="37" t="s">
        <v>1585</v>
      </c>
      <c r="D61" s="37" t="s">
        <v>248</v>
      </c>
      <c r="E61" s="37" t="s">
        <v>274</v>
      </c>
      <c r="F61" s="37" t="s">
        <v>275</v>
      </c>
      <c r="G61" s="37" t="s">
        <v>276</v>
      </c>
      <c r="H61" s="37" t="s">
        <v>142</v>
      </c>
      <c r="I61" s="37" t="s">
        <v>185</v>
      </c>
      <c r="J61" s="37" t="s">
        <v>277</v>
      </c>
      <c r="K61" s="34" t="s">
        <v>1550</v>
      </c>
      <c r="L61" s="34">
        <f t="shared" si="0"/>
        <v>1.6666666666666666E-2</v>
      </c>
      <c r="M61" s="39" t="s">
        <v>1532</v>
      </c>
    </row>
    <row r="62" spans="1:13" ht="32" hidden="1">
      <c r="A62" s="41" t="s">
        <v>1579</v>
      </c>
      <c r="B62" s="44" t="s">
        <v>278</v>
      </c>
      <c r="C62" s="37" t="s">
        <v>1585</v>
      </c>
      <c r="D62" s="37" t="s">
        <v>248</v>
      </c>
      <c r="E62" s="37" t="s">
        <v>279</v>
      </c>
      <c r="F62" s="37" t="s">
        <v>136</v>
      </c>
      <c r="G62" s="37" t="s">
        <v>137</v>
      </c>
      <c r="H62" s="37" t="s">
        <v>28</v>
      </c>
      <c r="I62" s="37" t="s">
        <v>280</v>
      </c>
      <c r="J62" s="37" t="s">
        <v>267</v>
      </c>
      <c r="K62" s="34" t="s">
        <v>1548</v>
      </c>
      <c r="L62" s="34">
        <f t="shared" si="0"/>
        <v>1.6666666666666666E-2</v>
      </c>
      <c r="M62" s="39" t="s">
        <v>1532</v>
      </c>
    </row>
    <row r="63" spans="1:13" ht="45" hidden="1">
      <c r="A63" s="41" t="s">
        <v>1579</v>
      </c>
      <c r="B63" s="44" t="s">
        <v>281</v>
      </c>
      <c r="C63" s="37" t="s">
        <v>1585</v>
      </c>
      <c r="D63" s="37" t="s">
        <v>248</v>
      </c>
      <c r="E63" s="37" t="s">
        <v>282</v>
      </c>
      <c r="F63" s="37" t="s">
        <v>191</v>
      </c>
      <c r="G63" s="37" t="s">
        <v>283</v>
      </c>
      <c r="H63" s="37" t="s">
        <v>142</v>
      </c>
      <c r="I63" s="37" t="s">
        <v>185</v>
      </c>
      <c r="J63" s="37" t="s">
        <v>284</v>
      </c>
      <c r="K63" s="34" t="s">
        <v>1548</v>
      </c>
      <c r="L63" s="34">
        <f t="shared" si="0"/>
        <v>1.6666666666666666E-2</v>
      </c>
      <c r="M63" s="39" t="s">
        <v>1532</v>
      </c>
    </row>
    <row r="64" spans="1:13" ht="90" hidden="1">
      <c r="A64" s="41" t="s">
        <v>1579</v>
      </c>
      <c r="B64" s="44" t="s">
        <v>285</v>
      </c>
      <c r="C64" s="37" t="s">
        <v>1585</v>
      </c>
      <c r="D64" s="37" t="s">
        <v>248</v>
      </c>
      <c r="E64" s="37" t="s">
        <v>286</v>
      </c>
      <c r="F64" s="37" t="s">
        <v>287</v>
      </c>
      <c r="G64" s="37" t="s">
        <v>288</v>
      </c>
      <c r="H64" s="37" t="s">
        <v>86</v>
      </c>
      <c r="I64" s="37" t="s">
        <v>289</v>
      </c>
      <c r="J64" s="37" t="s">
        <v>89</v>
      </c>
      <c r="K64" s="34" t="s">
        <v>1548</v>
      </c>
      <c r="L64" s="34">
        <f t="shared" si="0"/>
        <v>1.6666666666666666E-2</v>
      </c>
      <c r="M64" s="39" t="s">
        <v>1538</v>
      </c>
    </row>
    <row r="65" spans="1:13" ht="45" hidden="1">
      <c r="A65" s="41" t="s">
        <v>1579</v>
      </c>
      <c r="B65" s="44" t="s">
        <v>290</v>
      </c>
      <c r="C65" s="37" t="s">
        <v>1585</v>
      </c>
      <c r="D65" s="37" t="s">
        <v>248</v>
      </c>
      <c r="E65" s="37" t="s">
        <v>291</v>
      </c>
      <c r="F65" s="37" t="s">
        <v>239</v>
      </c>
      <c r="G65" s="37" t="s">
        <v>292</v>
      </c>
      <c r="H65" s="37" t="s">
        <v>182</v>
      </c>
      <c r="I65" s="37" t="s">
        <v>293</v>
      </c>
      <c r="J65" s="37" t="s">
        <v>294</v>
      </c>
      <c r="K65" s="34" t="s">
        <v>1550</v>
      </c>
      <c r="L65" s="34">
        <f t="shared" si="0"/>
        <v>1.6666666666666666E-2</v>
      </c>
      <c r="M65" s="39" t="s">
        <v>1532</v>
      </c>
    </row>
    <row r="66" spans="1:13" ht="75" hidden="1">
      <c r="A66" s="41" t="s">
        <v>1579</v>
      </c>
      <c r="B66" s="44" t="s">
        <v>295</v>
      </c>
      <c r="C66" s="37" t="s">
        <v>1585</v>
      </c>
      <c r="D66" s="37" t="s">
        <v>248</v>
      </c>
      <c r="E66" s="37" t="s">
        <v>296</v>
      </c>
      <c r="F66" s="37" t="s">
        <v>84</v>
      </c>
      <c r="G66" s="37" t="s">
        <v>297</v>
      </c>
      <c r="H66" s="37" t="s">
        <v>86</v>
      </c>
      <c r="I66" s="37" t="s">
        <v>185</v>
      </c>
      <c r="J66" s="37" t="s">
        <v>298</v>
      </c>
      <c r="K66" s="34" t="s">
        <v>1548</v>
      </c>
      <c r="L66" s="34">
        <f t="shared" si="0"/>
        <v>1.6666666666666666E-2</v>
      </c>
      <c r="M66" s="39" t="s">
        <v>1532</v>
      </c>
    </row>
    <row r="67" spans="1:13" ht="75" hidden="1">
      <c r="A67" s="41" t="s">
        <v>1579</v>
      </c>
      <c r="B67" s="44" t="s">
        <v>299</v>
      </c>
      <c r="C67" s="37" t="s">
        <v>1585</v>
      </c>
      <c r="D67" s="37" t="s">
        <v>248</v>
      </c>
      <c r="E67" s="37" t="s">
        <v>300</v>
      </c>
      <c r="F67" s="37" t="s">
        <v>92</v>
      </c>
      <c r="G67" s="37" t="s">
        <v>301</v>
      </c>
      <c r="H67" s="37" t="s">
        <v>86</v>
      </c>
      <c r="I67" s="37" t="s">
        <v>302</v>
      </c>
      <c r="J67" s="37" t="s">
        <v>303</v>
      </c>
      <c r="K67" s="34" t="s">
        <v>1550</v>
      </c>
      <c r="L67" s="34">
        <f t="shared" si="0"/>
        <v>1.6666666666666666E-2</v>
      </c>
      <c r="M67" s="39" t="s">
        <v>1532</v>
      </c>
    </row>
    <row r="68" spans="1:13" ht="342" hidden="1">
      <c r="A68" s="41" t="s">
        <v>1579</v>
      </c>
      <c r="B68" s="44" t="s">
        <v>304</v>
      </c>
      <c r="C68" s="37" t="s">
        <v>1585</v>
      </c>
      <c r="D68" s="37" t="s">
        <v>248</v>
      </c>
      <c r="E68" s="37" t="s">
        <v>305</v>
      </c>
      <c r="F68" s="37" t="s">
        <v>84</v>
      </c>
      <c r="G68" s="37" t="s">
        <v>1555</v>
      </c>
      <c r="H68" s="37" t="s">
        <v>86</v>
      </c>
      <c r="I68" s="37" t="s">
        <v>185</v>
      </c>
      <c r="J68" s="37" t="s">
        <v>306</v>
      </c>
      <c r="K68" s="34" t="s">
        <v>1548</v>
      </c>
      <c r="L68" s="34">
        <f t="shared" ref="L68:L131" si="1">1/60</f>
        <v>1.6666666666666666E-2</v>
      </c>
      <c r="M68" s="39" t="s">
        <v>1532</v>
      </c>
    </row>
    <row r="69" spans="1:13" ht="32" hidden="1">
      <c r="A69" s="41" t="s">
        <v>1579</v>
      </c>
      <c r="B69" s="44" t="s">
        <v>307</v>
      </c>
      <c r="C69" s="37" t="s">
        <v>1585</v>
      </c>
      <c r="D69" s="37" t="s">
        <v>248</v>
      </c>
      <c r="E69" s="37" t="s">
        <v>308</v>
      </c>
      <c r="F69" s="37" t="s">
        <v>84</v>
      </c>
      <c r="G69" s="37" t="s">
        <v>309</v>
      </c>
      <c r="H69" s="37" t="s">
        <v>28</v>
      </c>
      <c r="I69" s="37" t="s">
        <v>310</v>
      </c>
      <c r="J69" s="37" t="s">
        <v>173</v>
      </c>
      <c r="K69" s="34" t="s">
        <v>1548</v>
      </c>
      <c r="L69" s="34">
        <f t="shared" si="1"/>
        <v>1.6666666666666666E-2</v>
      </c>
      <c r="M69" s="39" t="s">
        <v>1532</v>
      </c>
    </row>
    <row r="70" spans="1:13" ht="60" hidden="1">
      <c r="A70" s="41" t="s">
        <v>1579</v>
      </c>
      <c r="B70" s="44" t="s">
        <v>311</v>
      </c>
      <c r="C70" s="37" t="s">
        <v>1585</v>
      </c>
      <c r="D70" s="37" t="s">
        <v>248</v>
      </c>
      <c r="E70" s="37" t="s">
        <v>312</v>
      </c>
      <c r="F70" s="37" t="s">
        <v>84</v>
      </c>
      <c r="G70" s="37" t="s">
        <v>313</v>
      </c>
      <c r="H70" s="37" t="s">
        <v>28</v>
      </c>
      <c r="I70" s="37" t="s">
        <v>314</v>
      </c>
      <c r="J70" s="37" t="s">
        <v>121</v>
      </c>
      <c r="K70" s="34" t="s">
        <v>1548</v>
      </c>
      <c r="L70" s="34">
        <f t="shared" si="1"/>
        <v>1.6666666666666666E-2</v>
      </c>
      <c r="M70" s="39" t="s">
        <v>1532</v>
      </c>
    </row>
    <row r="71" spans="1:13" ht="32" hidden="1">
      <c r="A71" s="41" t="s">
        <v>1579</v>
      </c>
      <c r="B71" s="44" t="s">
        <v>315</v>
      </c>
      <c r="C71" s="37" t="s">
        <v>1585</v>
      </c>
      <c r="D71" s="37" t="s">
        <v>248</v>
      </c>
      <c r="E71" s="37" t="s">
        <v>316</v>
      </c>
      <c r="F71" s="37" t="s">
        <v>176</v>
      </c>
      <c r="G71" s="37" t="s">
        <v>309</v>
      </c>
      <c r="H71" s="37" t="s">
        <v>28</v>
      </c>
      <c r="I71" s="37" t="s">
        <v>317</v>
      </c>
      <c r="J71" s="37" t="s">
        <v>133</v>
      </c>
      <c r="K71" s="34" t="s">
        <v>1550</v>
      </c>
      <c r="L71" s="34">
        <f t="shared" si="1"/>
        <v>1.6666666666666666E-2</v>
      </c>
      <c r="M71" s="39" t="s">
        <v>1532</v>
      </c>
    </row>
    <row r="72" spans="1:13" ht="45" hidden="1">
      <c r="A72" s="41" t="s">
        <v>1579</v>
      </c>
      <c r="B72" s="44" t="s">
        <v>318</v>
      </c>
      <c r="C72" s="37" t="s">
        <v>1585</v>
      </c>
      <c r="D72" s="37" t="s">
        <v>248</v>
      </c>
      <c r="E72" s="37" t="s">
        <v>319</v>
      </c>
      <c r="F72" s="37" t="s">
        <v>96</v>
      </c>
      <c r="G72" s="37" t="s">
        <v>320</v>
      </c>
      <c r="H72" s="37" t="s">
        <v>182</v>
      </c>
      <c r="I72" s="37" t="s">
        <v>321</v>
      </c>
      <c r="J72" s="37" t="s">
        <v>267</v>
      </c>
      <c r="K72" s="34" t="s">
        <v>1548</v>
      </c>
      <c r="L72" s="34">
        <f t="shared" si="1"/>
        <v>1.6666666666666666E-2</v>
      </c>
      <c r="M72" s="39" t="s">
        <v>1532</v>
      </c>
    </row>
    <row r="73" spans="1:13" ht="45" hidden="1">
      <c r="A73" s="41" t="s">
        <v>1579</v>
      </c>
      <c r="B73" s="44" t="s">
        <v>322</v>
      </c>
      <c r="C73" s="37" t="s">
        <v>1585</v>
      </c>
      <c r="D73" s="37" t="s">
        <v>248</v>
      </c>
      <c r="E73" s="37" t="s">
        <v>323</v>
      </c>
      <c r="F73" s="37" t="s">
        <v>191</v>
      </c>
      <c r="G73" s="37" t="s">
        <v>324</v>
      </c>
      <c r="H73" s="37" t="s">
        <v>142</v>
      </c>
      <c r="I73" s="37" t="s">
        <v>325</v>
      </c>
      <c r="J73" s="37" t="s">
        <v>260</v>
      </c>
      <c r="K73" s="34" t="s">
        <v>1548</v>
      </c>
      <c r="L73" s="34">
        <f t="shared" si="1"/>
        <v>1.6666666666666666E-2</v>
      </c>
      <c r="M73" s="39" t="s">
        <v>1532</v>
      </c>
    </row>
    <row r="74" spans="1:13" ht="60">
      <c r="A74" s="41" t="s">
        <v>1579</v>
      </c>
      <c r="B74" s="44" t="s">
        <v>326</v>
      </c>
      <c r="C74" s="37" t="s">
        <v>1586</v>
      </c>
      <c r="D74" s="37" t="s">
        <v>248</v>
      </c>
      <c r="E74" s="37" t="s">
        <v>327</v>
      </c>
      <c r="F74" s="37" t="s">
        <v>84</v>
      </c>
      <c r="G74" s="37" t="s">
        <v>328</v>
      </c>
      <c r="H74" s="37" t="s">
        <v>86</v>
      </c>
      <c r="I74" s="37" t="s">
        <v>185</v>
      </c>
      <c r="J74" s="37" t="s">
        <v>329</v>
      </c>
      <c r="K74" s="34" t="s">
        <v>1550</v>
      </c>
      <c r="L74" s="34">
        <f t="shared" si="1"/>
        <v>1.6666666666666666E-2</v>
      </c>
      <c r="M74" s="39" t="s">
        <v>1532</v>
      </c>
    </row>
    <row r="75" spans="1:13" ht="60">
      <c r="A75" s="41" t="s">
        <v>1579</v>
      </c>
      <c r="B75" s="44" t="s">
        <v>330</v>
      </c>
      <c r="C75" s="37" t="s">
        <v>1586</v>
      </c>
      <c r="D75" s="37" t="s">
        <v>248</v>
      </c>
      <c r="E75" s="37" t="s">
        <v>331</v>
      </c>
      <c r="F75" s="37" t="s">
        <v>84</v>
      </c>
      <c r="G75" s="37" t="s">
        <v>332</v>
      </c>
      <c r="H75" s="37" t="s">
        <v>86</v>
      </c>
      <c r="I75" s="37" t="s">
        <v>185</v>
      </c>
      <c r="J75" s="37" t="s">
        <v>333</v>
      </c>
      <c r="K75" s="34" t="s">
        <v>1548</v>
      </c>
      <c r="L75" s="34">
        <f t="shared" si="1"/>
        <v>1.6666666666666666E-2</v>
      </c>
      <c r="M75" s="39" t="s">
        <v>1532</v>
      </c>
    </row>
    <row r="76" spans="1:13" ht="45">
      <c r="A76" s="41" t="s">
        <v>1579</v>
      </c>
      <c r="B76" s="44" t="s">
        <v>334</v>
      </c>
      <c r="C76" s="37" t="s">
        <v>1586</v>
      </c>
      <c r="D76" s="37" t="s">
        <v>248</v>
      </c>
      <c r="E76" s="37" t="s">
        <v>335</v>
      </c>
      <c r="F76" s="37" t="s">
        <v>84</v>
      </c>
      <c r="G76" s="37" t="s">
        <v>336</v>
      </c>
      <c r="H76" s="37" t="s">
        <v>142</v>
      </c>
      <c r="I76" s="37" t="s">
        <v>185</v>
      </c>
      <c r="J76" s="37" t="s">
        <v>143</v>
      </c>
      <c r="K76" s="34" t="s">
        <v>1550</v>
      </c>
      <c r="L76" s="34">
        <f t="shared" si="1"/>
        <v>1.6666666666666666E-2</v>
      </c>
      <c r="M76" s="39" t="s">
        <v>1532</v>
      </c>
    </row>
    <row r="77" spans="1:13" ht="60">
      <c r="A77" s="41" t="s">
        <v>1579</v>
      </c>
      <c r="B77" s="44" t="s">
        <v>337</v>
      </c>
      <c r="C77" s="37" t="s">
        <v>1586</v>
      </c>
      <c r="D77" s="37" t="s">
        <v>248</v>
      </c>
      <c r="E77" s="37" t="s">
        <v>338</v>
      </c>
      <c r="F77" s="37" t="s">
        <v>84</v>
      </c>
      <c r="G77" s="37" t="s">
        <v>339</v>
      </c>
      <c r="H77" s="37" t="s">
        <v>86</v>
      </c>
      <c r="I77" s="37" t="s">
        <v>185</v>
      </c>
      <c r="J77" s="37" t="s">
        <v>143</v>
      </c>
      <c r="K77" s="34" t="s">
        <v>1550</v>
      </c>
      <c r="L77" s="34">
        <f t="shared" si="1"/>
        <v>1.6666666666666666E-2</v>
      </c>
      <c r="M77" s="39" t="s">
        <v>1532</v>
      </c>
    </row>
    <row r="78" spans="1:13" ht="90" hidden="1">
      <c r="A78" s="41" t="s">
        <v>1579</v>
      </c>
      <c r="B78" s="44" t="s">
        <v>340</v>
      </c>
      <c r="C78" s="37" t="s">
        <v>1585</v>
      </c>
      <c r="D78" s="37" t="s">
        <v>341</v>
      </c>
      <c r="E78" s="37" t="s">
        <v>342</v>
      </c>
      <c r="F78" s="37" t="s">
        <v>343</v>
      </c>
      <c r="G78" s="37" t="s">
        <v>344</v>
      </c>
      <c r="H78" s="37" t="s">
        <v>86</v>
      </c>
      <c r="I78" s="37" t="s">
        <v>345</v>
      </c>
      <c r="J78" s="37" t="s">
        <v>89</v>
      </c>
      <c r="K78" s="34" t="s">
        <v>1550</v>
      </c>
      <c r="L78" s="34">
        <f t="shared" si="1"/>
        <v>1.6666666666666666E-2</v>
      </c>
      <c r="M78" s="39" t="s">
        <v>1577</v>
      </c>
    </row>
    <row r="79" spans="1:13" ht="90" hidden="1">
      <c r="A79" s="41" t="s">
        <v>1579</v>
      </c>
      <c r="B79" s="44" t="s">
        <v>346</v>
      </c>
      <c r="C79" s="37" t="s">
        <v>1585</v>
      </c>
      <c r="D79" s="37" t="s">
        <v>341</v>
      </c>
      <c r="E79" s="37" t="s">
        <v>347</v>
      </c>
      <c r="F79" s="37" t="s">
        <v>191</v>
      </c>
      <c r="G79" s="37" t="s">
        <v>192</v>
      </c>
      <c r="H79" s="37" t="s">
        <v>86</v>
      </c>
      <c r="I79" s="37" t="s">
        <v>345</v>
      </c>
      <c r="J79" s="37" t="s">
        <v>89</v>
      </c>
      <c r="K79" s="34" t="s">
        <v>1550</v>
      </c>
      <c r="L79" s="34">
        <f t="shared" si="1"/>
        <v>1.6666666666666666E-2</v>
      </c>
      <c r="M79" s="39" t="s">
        <v>1532</v>
      </c>
    </row>
    <row r="80" spans="1:13" ht="32" hidden="1">
      <c r="A80" s="41" t="s">
        <v>1579</v>
      </c>
      <c r="B80" s="44" t="s">
        <v>348</v>
      </c>
      <c r="C80" s="37" t="s">
        <v>1585</v>
      </c>
      <c r="D80" s="37" t="s">
        <v>341</v>
      </c>
      <c r="E80" s="37" t="s">
        <v>349</v>
      </c>
      <c r="F80" s="37" t="s">
        <v>343</v>
      </c>
      <c r="G80" s="37" t="s">
        <v>344</v>
      </c>
      <c r="H80" s="37" t="s">
        <v>28</v>
      </c>
      <c r="I80" s="37" t="s">
        <v>350</v>
      </c>
      <c r="J80" s="37" t="s">
        <v>351</v>
      </c>
      <c r="K80" s="34" t="s">
        <v>1550</v>
      </c>
      <c r="L80" s="34">
        <f t="shared" si="1"/>
        <v>1.6666666666666666E-2</v>
      </c>
      <c r="M80" s="39" t="s">
        <v>1532</v>
      </c>
    </row>
    <row r="81" spans="1:13" ht="32" hidden="1">
      <c r="A81" s="41" t="s">
        <v>1579</v>
      </c>
      <c r="B81" s="44" t="s">
        <v>352</v>
      </c>
      <c r="C81" s="37" t="s">
        <v>1585</v>
      </c>
      <c r="D81" s="37" t="s">
        <v>341</v>
      </c>
      <c r="E81" s="37" t="s">
        <v>353</v>
      </c>
      <c r="F81" s="37" t="s">
        <v>191</v>
      </c>
      <c r="G81" s="37" t="s">
        <v>192</v>
      </c>
      <c r="H81" s="37" t="s">
        <v>28</v>
      </c>
      <c r="I81" s="37" t="s">
        <v>350</v>
      </c>
      <c r="J81" s="37" t="s">
        <v>351</v>
      </c>
      <c r="K81" s="34" t="s">
        <v>1550</v>
      </c>
      <c r="L81" s="34">
        <f t="shared" si="1"/>
        <v>1.6666666666666666E-2</v>
      </c>
      <c r="M81" s="39" t="s">
        <v>1532</v>
      </c>
    </row>
    <row r="82" spans="1:13" ht="75" hidden="1">
      <c r="A82" s="41" t="s">
        <v>1579</v>
      </c>
      <c r="B82" s="44" t="s">
        <v>354</v>
      </c>
      <c r="C82" s="37" t="s">
        <v>1585</v>
      </c>
      <c r="D82" s="37" t="s">
        <v>341</v>
      </c>
      <c r="E82" s="37" t="s">
        <v>355</v>
      </c>
      <c r="F82" s="37" t="s">
        <v>152</v>
      </c>
      <c r="G82" s="37" t="s">
        <v>356</v>
      </c>
      <c r="H82" s="37" t="s">
        <v>142</v>
      </c>
      <c r="I82" s="37" t="s">
        <v>345</v>
      </c>
      <c r="J82" s="37" t="s">
        <v>143</v>
      </c>
      <c r="K82" s="34" t="s">
        <v>1550</v>
      </c>
      <c r="L82" s="34">
        <f t="shared" si="1"/>
        <v>1.6666666666666666E-2</v>
      </c>
      <c r="M82" s="39" t="s">
        <v>1532</v>
      </c>
    </row>
    <row r="83" spans="1:13" ht="60">
      <c r="A83" s="41" t="s">
        <v>1579</v>
      </c>
      <c r="B83" s="44" t="s">
        <v>357</v>
      </c>
      <c r="C83" s="37" t="s">
        <v>1586</v>
      </c>
      <c r="D83" s="37" t="s">
        <v>341</v>
      </c>
      <c r="E83" s="37" t="s">
        <v>358</v>
      </c>
      <c r="F83" s="37" t="s">
        <v>359</v>
      </c>
      <c r="G83" s="37" t="s">
        <v>177</v>
      </c>
      <c r="H83" s="37" t="s">
        <v>86</v>
      </c>
      <c r="I83" s="37" t="s">
        <v>345</v>
      </c>
      <c r="J83" s="37" t="s">
        <v>360</v>
      </c>
      <c r="K83" s="34" t="s">
        <v>1550</v>
      </c>
      <c r="L83" s="34">
        <f t="shared" si="1"/>
        <v>1.6666666666666666E-2</v>
      </c>
      <c r="M83" s="39" t="s">
        <v>1532</v>
      </c>
    </row>
    <row r="84" spans="1:13" ht="32">
      <c r="A84" s="41" t="s">
        <v>1579</v>
      </c>
      <c r="B84" s="44" t="s">
        <v>361</v>
      </c>
      <c r="C84" s="37" t="s">
        <v>1586</v>
      </c>
      <c r="D84" s="37" t="s">
        <v>341</v>
      </c>
      <c r="E84" s="37" t="s">
        <v>362</v>
      </c>
      <c r="F84" s="37" t="s">
        <v>191</v>
      </c>
      <c r="G84" s="37" t="s">
        <v>192</v>
      </c>
      <c r="H84" s="37" t="s">
        <v>28</v>
      </c>
      <c r="I84" s="37" t="s">
        <v>363</v>
      </c>
      <c r="J84" s="37" t="s">
        <v>108</v>
      </c>
      <c r="K84" s="34" t="s">
        <v>1548</v>
      </c>
      <c r="L84" s="34">
        <f t="shared" si="1"/>
        <v>1.6666666666666666E-2</v>
      </c>
      <c r="M84" s="39" t="s">
        <v>1532</v>
      </c>
    </row>
    <row r="85" spans="1:13" ht="32">
      <c r="A85" s="41" t="s">
        <v>1579</v>
      </c>
      <c r="B85" s="44" t="s">
        <v>364</v>
      </c>
      <c r="C85" s="37" t="s">
        <v>1586</v>
      </c>
      <c r="D85" s="37" t="s">
        <v>341</v>
      </c>
      <c r="E85" s="37" t="s">
        <v>365</v>
      </c>
      <c r="F85" s="37" t="s">
        <v>359</v>
      </c>
      <c r="G85" s="37" t="s">
        <v>177</v>
      </c>
      <c r="H85" s="37" t="s">
        <v>28</v>
      </c>
      <c r="I85" s="37" t="s">
        <v>363</v>
      </c>
      <c r="J85" s="37" t="s">
        <v>366</v>
      </c>
      <c r="K85" s="34" t="s">
        <v>1550</v>
      </c>
      <c r="L85" s="34">
        <f t="shared" si="1"/>
        <v>1.6666666666666666E-2</v>
      </c>
      <c r="M85" s="39" t="s">
        <v>1532</v>
      </c>
    </row>
    <row r="86" spans="1:13" ht="90">
      <c r="A86" s="41" t="s">
        <v>1579</v>
      </c>
      <c r="B86" s="44" t="s">
        <v>367</v>
      </c>
      <c r="C86" s="37" t="s">
        <v>1586</v>
      </c>
      <c r="D86" s="37" t="s">
        <v>341</v>
      </c>
      <c r="E86" s="37" t="s">
        <v>368</v>
      </c>
      <c r="F86" s="37" t="s">
        <v>84</v>
      </c>
      <c r="G86" s="37" t="s">
        <v>369</v>
      </c>
      <c r="H86" s="37" t="s">
        <v>142</v>
      </c>
      <c r="I86" s="37" t="s">
        <v>345</v>
      </c>
      <c r="J86" s="37" t="s">
        <v>143</v>
      </c>
      <c r="K86" s="34" t="s">
        <v>1550</v>
      </c>
      <c r="L86" s="34">
        <f t="shared" si="1"/>
        <v>1.6666666666666666E-2</v>
      </c>
      <c r="M86" s="39" t="s">
        <v>1532</v>
      </c>
    </row>
    <row r="87" spans="1:13" ht="45">
      <c r="A87" s="41" t="s">
        <v>1579</v>
      </c>
      <c r="B87" s="44" t="s">
        <v>370</v>
      </c>
      <c r="C87" s="37" t="s">
        <v>1586</v>
      </c>
      <c r="D87" s="37" t="s">
        <v>341</v>
      </c>
      <c r="E87" s="37" t="s">
        <v>371</v>
      </c>
      <c r="F87" s="37" t="s">
        <v>359</v>
      </c>
      <c r="G87" s="37" t="s">
        <v>177</v>
      </c>
      <c r="H87" s="37" t="s">
        <v>142</v>
      </c>
      <c r="I87" s="37" t="s">
        <v>345</v>
      </c>
      <c r="J87" s="37" t="s">
        <v>143</v>
      </c>
      <c r="K87" s="34" t="s">
        <v>1550</v>
      </c>
      <c r="L87" s="34">
        <f t="shared" si="1"/>
        <v>1.6666666666666666E-2</v>
      </c>
      <c r="M87" s="39" t="s">
        <v>1532</v>
      </c>
    </row>
    <row r="88" spans="1:13" ht="32">
      <c r="A88" s="41" t="s">
        <v>1579</v>
      </c>
      <c r="B88" s="44" t="s">
        <v>372</v>
      </c>
      <c r="C88" s="37" t="s">
        <v>1586</v>
      </c>
      <c r="D88" s="37" t="s">
        <v>341</v>
      </c>
      <c r="E88" s="37" t="s">
        <v>373</v>
      </c>
      <c r="F88" s="37" t="s">
        <v>359</v>
      </c>
      <c r="G88" s="37" t="s">
        <v>177</v>
      </c>
      <c r="H88" s="37" t="s">
        <v>28</v>
      </c>
      <c r="I88" s="37" t="s">
        <v>374</v>
      </c>
      <c r="J88" s="37" t="s">
        <v>228</v>
      </c>
      <c r="K88" s="34" t="s">
        <v>1550</v>
      </c>
      <c r="L88" s="34">
        <f t="shared" si="1"/>
        <v>1.6666666666666666E-2</v>
      </c>
      <c r="M88" s="39" t="s">
        <v>1539</v>
      </c>
    </row>
    <row r="89" spans="1:13" ht="90" hidden="1">
      <c r="A89" s="41" t="s">
        <v>1579</v>
      </c>
      <c r="B89" s="44" t="s">
        <v>375</v>
      </c>
      <c r="C89" s="37" t="s">
        <v>1585</v>
      </c>
      <c r="D89" s="37" t="s">
        <v>341</v>
      </c>
      <c r="E89" s="37" t="s">
        <v>376</v>
      </c>
      <c r="F89" s="37" t="s">
        <v>96</v>
      </c>
      <c r="G89" s="37" t="s">
        <v>377</v>
      </c>
      <c r="H89" s="37" t="s">
        <v>28</v>
      </c>
      <c r="I89" s="37" t="s">
        <v>378</v>
      </c>
      <c r="J89" s="37" t="s">
        <v>89</v>
      </c>
      <c r="K89" s="34" t="s">
        <v>1550</v>
      </c>
      <c r="L89" s="34">
        <f t="shared" si="1"/>
        <v>1.6666666666666666E-2</v>
      </c>
      <c r="M89" s="39" t="s">
        <v>1532</v>
      </c>
    </row>
    <row r="90" spans="1:13" ht="32" hidden="1">
      <c r="A90" s="41" t="s">
        <v>1579</v>
      </c>
      <c r="B90" s="44" t="s">
        <v>379</v>
      </c>
      <c r="C90" s="37" t="s">
        <v>1585</v>
      </c>
      <c r="D90" s="37" t="s">
        <v>341</v>
      </c>
      <c r="E90" s="37" t="s">
        <v>380</v>
      </c>
      <c r="F90" s="37" t="s">
        <v>191</v>
      </c>
      <c r="G90" s="37" t="s">
        <v>192</v>
      </c>
      <c r="H90" s="37" t="s">
        <v>28</v>
      </c>
      <c r="I90" s="37" t="s">
        <v>378</v>
      </c>
      <c r="J90" s="37" t="s">
        <v>351</v>
      </c>
      <c r="K90" s="34" t="s">
        <v>1550</v>
      </c>
      <c r="L90" s="34">
        <f t="shared" si="1"/>
        <v>1.6666666666666666E-2</v>
      </c>
      <c r="M90" s="39" t="s">
        <v>1532</v>
      </c>
    </row>
    <row r="91" spans="1:13" ht="90">
      <c r="A91" s="41" t="s">
        <v>1579</v>
      </c>
      <c r="B91" s="44" t="s">
        <v>381</v>
      </c>
      <c r="C91" s="37" t="s">
        <v>1586</v>
      </c>
      <c r="D91" s="37" t="s">
        <v>341</v>
      </c>
      <c r="E91" s="37" t="s">
        <v>382</v>
      </c>
      <c r="F91" s="37" t="s">
        <v>84</v>
      </c>
      <c r="G91" s="37" t="s">
        <v>383</v>
      </c>
      <c r="H91" s="37" t="s">
        <v>28</v>
      </c>
      <c r="I91" s="37" t="s">
        <v>378</v>
      </c>
      <c r="J91" s="37" t="s">
        <v>384</v>
      </c>
      <c r="K91" s="34" t="s">
        <v>1550</v>
      </c>
      <c r="L91" s="34">
        <f t="shared" si="1"/>
        <v>1.6666666666666666E-2</v>
      </c>
      <c r="M91" s="39" t="s">
        <v>1532</v>
      </c>
    </row>
    <row r="92" spans="1:13" ht="75">
      <c r="A92" s="41" t="s">
        <v>1579</v>
      </c>
      <c r="B92" s="44" t="s">
        <v>385</v>
      </c>
      <c r="C92" s="37" t="s">
        <v>1586</v>
      </c>
      <c r="D92" s="37" t="s">
        <v>341</v>
      </c>
      <c r="E92" s="37" t="s">
        <v>386</v>
      </c>
      <c r="F92" s="37" t="s">
        <v>387</v>
      </c>
      <c r="G92" s="37" t="s">
        <v>388</v>
      </c>
      <c r="H92" s="37" t="s">
        <v>28</v>
      </c>
      <c r="I92" s="37" t="s">
        <v>378</v>
      </c>
      <c r="J92" s="37" t="s">
        <v>303</v>
      </c>
      <c r="K92" s="34" t="s">
        <v>1550</v>
      </c>
      <c r="L92" s="34">
        <f t="shared" si="1"/>
        <v>1.6666666666666666E-2</v>
      </c>
      <c r="M92" s="39" t="s">
        <v>1532</v>
      </c>
    </row>
    <row r="93" spans="1:13" ht="60">
      <c r="A93" s="41" t="s">
        <v>1579</v>
      </c>
      <c r="B93" s="44" t="s">
        <v>389</v>
      </c>
      <c r="C93" s="37" t="s">
        <v>1586</v>
      </c>
      <c r="D93" s="37" t="s">
        <v>341</v>
      </c>
      <c r="E93" s="37" t="s">
        <v>390</v>
      </c>
      <c r="F93" s="37" t="s">
        <v>84</v>
      </c>
      <c r="G93" s="37" t="s">
        <v>391</v>
      </c>
      <c r="H93" s="37" t="s">
        <v>28</v>
      </c>
      <c r="I93" s="37" t="s">
        <v>378</v>
      </c>
      <c r="J93" s="37" t="s">
        <v>392</v>
      </c>
      <c r="K93" s="34" t="s">
        <v>1550</v>
      </c>
      <c r="L93" s="34">
        <f t="shared" si="1"/>
        <v>1.6666666666666666E-2</v>
      </c>
      <c r="M93" s="39" t="s">
        <v>1532</v>
      </c>
    </row>
    <row r="94" spans="1:13" ht="60">
      <c r="A94" s="41" t="s">
        <v>1579</v>
      </c>
      <c r="B94" s="44" t="s">
        <v>393</v>
      </c>
      <c r="C94" s="37" t="s">
        <v>1586</v>
      </c>
      <c r="D94" s="37" t="s">
        <v>341</v>
      </c>
      <c r="E94" s="37" t="s">
        <v>394</v>
      </c>
      <c r="F94" s="37" t="s">
        <v>84</v>
      </c>
      <c r="G94" s="37" t="s">
        <v>395</v>
      </c>
      <c r="H94" s="37" t="s">
        <v>28</v>
      </c>
      <c r="I94" s="37" t="s">
        <v>378</v>
      </c>
      <c r="J94" s="37" t="s">
        <v>396</v>
      </c>
      <c r="K94" s="34" t="s">
        <v>1550</v>
      </c>
      <c r="L94" s="34">
        <f t="shared" si="1"/>
        <v>1.6666666666666666E-2</v>
      </c>
      <c r="M94" s="39" t="s">
        <v>1532</v>
      </c>
    </row>
    <row r="95" spans="1:13" ht="45">
      <c r="A95" s="41" t="s">
        <v>1579</v>
      </c>
      <c r="B95" s="44" t="s">
        <v>397</v>
      </c>
      <c r="C95" s="37" t="s">
        <v>1586</v>
      </c>
      <c r="D95" s="37" t="s">
        <v>341</v>
      </c>
      <c r="E95" s="37" t="s">
        <v>398</v>
      </c>
      <c r="F95" s="37" t="s">
        <v>359</v>
      </c>
      <c r="G95" s="37" t="s">
        <v>399</v>
      </c>
      <c r="H95" s="37" t="s">
        <v>28</v>
      </c>
      <c r="I95" s="37" t="s">
        <v>378</v>
      </c>
      <c r="J95" s="37" t="s">
        <v>228</v>
      </c>
      <c r="K95" s="34" t="s">
        <v>1550</v>
      </c>
      <c r="L95" s="34">
        <f t="shared" si="1"/>
        <v>1.6666666666666666E-2</v>
      </c>
      <c r="M95" s="39" t="s">
        <v>1532</v>
      </c>
    </row>
    <row r="96" spans="1:13" ht="60">
      <c r="A96" s="41" t="s">
        <v>1579</v>
      </c>
      <c r="B96" s="44" t="s">
        <v>400</v>
      </c>
      <c r="C96" s="37" t="s">
        <v>1586</v>
      </c>
      <c r="D96" s="37" t="s">
        <v>341</v>
      </c>
      <c r="E96" s="37" t="s">
        <v>401</v>
      </c>
      <c r="F96" s="37" t="s">
        <v>84</v>
      </c>
      <c r="G96" s="37" t="s">
        <v>402</v>
      </c>
      <c r="H96" s="37" t="s">
        <v>86</v>
      </c>
      <c r="I96" s="37" t="s">
        <v>403</v>
      </c>
      <c r="J96" s="37" t="s">
        <v>404</v>
      </c>
      <c r="K96" s="34" t="s">
        <v>1550</v>
      </c>
      <c r="L96" s="34">
        <f t="shared" si="1"/>
        <v>1.6666666666666666E-2</v>
      </c>
      <c r="M96" s="39" t="s">
        <v>1532</v>
      </c>
    </row>
    <row r="97" spans="1:13" ht="60">
      <c r="A97" s="41" t="s">
        <v>1579</v>
      </c>
      <c r="B97" s="44" t="s">
        <v>405</v>
      </c>
      <c r="C97" s="37" t="s">
        <v>1586</v>
      </c>
      <c r="D97" s="37" t="s">
        <v>341</v>
      </c>
      <c r="E97" s="37" t="s">
        <v>406</v>
      </c>
      <c r="F97" s="37" t="s">
        <v>84</v>
      </c>
      <c r="G97" s="37" t="s">
        <v>407</v>
      </c>
      <c r="H97" s="37" t="s">
        <v>86</v>
      </c>
      <c r="I97" s="37" t="s">
        <v>403</v>
      </c>
      <c r="J97" s="37" t="s">
        <v>408</v>
      </c>
      <c r="K97" s="34" t="s">
        <v>1550</v>
      </c>
      <c r="L97" s="34">
        <f t="shared" si="1"/>
        <v>1.6666666666666666E-2</v>
      </c>
      <c r="M97" s="39" t="s">
        <v>1532</v>
      </c>
    </row>
    <row r="98" spans="1:13" ht="32">
      <c r="A98" s="41" t="s">
        <v>1579</v>
      </c>
      <c r="B98" s="44" t="s">
        <v>409</v>
      </c>
      <c r="C98" s="37" t="s">
        <v>1586</v>
      </c>
      <c r="D98" s="37" t="s">
        <v>341</v>
      </c>
      <c r="E98" s="37" t="s">
        <v>410</v>
      </c>
      <c r="F98" s="37" t="s">
        <v>191</v>
      </c>
      <c r="G98" s="37" t="s">
        <v>411</v>
      </c>
      <c r="H98" s="37" t="s">
        <v>182</v>
      </c>
      <c r="I98" s="37" t="s">
        <v>412</v>
      </c>
      <c r="J98" s="37" t="s">
        <v>294</v>
      </c>
      <c r="K98" s="34" t="s">
        <v>1548</v>
      </c>
      <c r="L98" s="34">
        <f t="shared" si="1"/>
        <v>1.6666666666666666E-2</v>
      </c>
      <c r="M98" s="39" t="s">
        <v>1532</v>
      </c>
    </row>
    <row r="99" spans="1:13" ht="32">
      <c r="A99" s="41" t="s">
        <v>1579</v>
      </c>
      <c r="B99" s="44" t="s">
        <v>413</v>
      </c>
      <c r="C99" s="37" t="s">
        <v>1586</v>
      </c>
      <c r="D99" s="37" t="s">
        <v>341</v>
      </c>
      <c r="E99" s="37" t="s">
        <v>414</v>
      </c>
      <c r="F99" s="37" t="s">
        <v>191</v>
      </c>
      <c r="G99" s="37" t="s">
        <v>415</v>
      </c>
      <c r="H99" s="37" t="s">
        <v>86</v>
      </c>
      <c r="I99" s="37" t="s">
        <v>416</v>
      </c>
      <c r="J99" s="37" t="s">
        <v>417</v>
      </c>
      <c r="K99" s="34" t="s">
        <v>1550</v>
      </c>
      <c r="L99" s="34">
        <f t="shared" si="1"/>
        <v>1.6666666666666666E-2</v>
      </c>
      <c r="M99" s="39" t="s">
        <v>1532</v>
      </c>
    </row>
    <row r="100" spans="1:13" ht="32">
      <c r="A100" s="41" t="s">
        <v>1579</v>
      </c>
      <c r="B100" s="44" t="s">
        <v>418</v>
      </c>
      <c r="C100" s="37" t="s">
        <v>1586</v>
      </c>
      <c r="D100" s="37" t="s">
        <v>341</v>
      </c>
      <c r="E100" s="37" t="s">
        <v>419</v>
      </c>
      <c r="F100" s="37" t="s">
        <v>191</v>
      </c>
      <c r="G100" s="37" t="s">
        <v>415</v>
      </c>
      <c r="H100" s="37" t="s">
        <v>142</v>
      </c>
      <c r="I100" s="37" t="s">
        <v>416</v>
      </c>
      <c r="J100" s="37" t="s">
        <v>143</v>
      </c>
      <c r="K100" s="34" t="s">
        <v>1550</v>
      </c>
      <c r="L100" s="34">
        <f t="shared" si="1"/>
        <v>1.6666666666666666E-2</v>
      </c>
      <c r="M100" s="39" t="s">
        <v>1532</v>
      </c>
    </row>
    <row r="101" spans="1:13" ht="32">
      <c r="A101" s="41" t="s">
        <v>1579</v>
      </c>
      <c r="B101" s="44" t="s">
        <v>420</v>
      </c>
      <c r="C101" s="37" t="s">
        <v>1586</v>
      </c>
      <c r="D101" s="37" t="s">
        <v>341</v>
      </c>
      <c r="E101" s="37" t="s">
        <v>421</v>
      </c>
      <c r="F101" s="37" t="s">
        <v>191</v>
      </c>
      <c r="G101" s="37" t="s">
        <v>415</v>
      </c>
      <c r="H101" s="37" t="s">
        <v>28</v>
      </c>
      <c r="I101" s="37" t="s">
        <v>422</v>
      </c>
      <c r="J101" s="37" t="s">
        <v>294</v>
      </c>
      <c r="K101" s="34" t="s">
        <v>1550</v>
      </c>
      <c r="L101" s="34">
        <f t="shared" si="1"/>
        <v>1.6666666666666666E-2</v>
      </c>
      <c r="M101" s="39" t="s">
        <v>1532</v>
      </c>
    </row>
    <row r="102" spans="1:13" ht="32">
      <c r="A102" s="41" t="s">
        <v>1579</v>
      </c>
      <c r="B102" s="44" t="s">
        <v>423</v>
      </c>
      <c r="C102" s="37" t="s">
        <v>1586</v>
      </c>
      <c r="D102" s="37" t="s">
        <v>341</v>
      </c>
      <c r="E102" s="37" t="s">
        <v>424</v>
      </c>
      <c r="F102" s="37" t="s">
        <v>425</v>
      </c>
      <c r="G102" s="37" t="s">
        <v>426</v>
      </c>
      <c r="H102" s="37" t="s">
        <v>86</v>
      </c>
      <c r="I102" s="37" t="s">
        <v>427</v>
      </c>
      <c r="J102" s="37" t="s">
        <v>392</v>
      </c>
      <c r="K102" s="34" t="s">
        <v>1548</v>
      </c>
      <c r="L102" s="34">
        <f t="shared" si="1"/>
        <v>1.6666666666666666E-2</v>
      </c>
      <c r="M102" s="39" t="s">
        <v>1532</v>
      </c>
    </row>
    <row r="103" spans="1:13" ht="32">
      <c r="A103" s="41" t="s">
        <v>1579</v>
      </c>
      <c r="B103" s="44" t="s">
        <v>428</v>
      </c>
      <c r="C103" s="37" t="s">
        <v>1586</v>
      </c>
      <c r="D103" s="37" t="s">
        <v>341</v>
      </c>
      <c r="E103" s="37" t="s">
        <v>429</v>
      </c>
      <c r="F103" s="37" t="s">
        <v>425</v>
      </c>
      <c r="G103" s="37" t="s">
        <v>430</v>
      </c>
      <c r="H103" s="37" t="s">
        <v>86</v>
      </c>
      <c r="I103" s="37" t="s">
        <v>431</v>
      </c>
      <c r="J103" s="37" t="s">
        <v>392</v>
      </c>
      <c r="K103" s="34" t="s">
        <v>1548</v>
      </c>
      <c r="L103" s="34">
        <f t="shared" si="1"/>
        <v>1.6666666666666666E-2</v>
      </c>
      <c r="M103" s="39" t="s">
        <v>1532</v>
      </c>
    </row>
    <row r="104" spans="1:13" ht="32">
      <c r="A104" s="41" t="s">
        <v>1579</v>
      </c>
      <c r="B104" s="44" t="s">
        <v>432</v>
      </c>
      <c r="C104" s="37" t="s">
        <v>1586</v>
      </c>
      <c r="D104" s="37" t="s">
        <v>341</v>
      </c>
      <c r="E104" s="37" t="s">
        <v>433</v>
      </c>
      <c r="F104" s="37" t="s">
        <v>191</v>
      </c>
      <c r="G104" s="37" t="s">
        <v>434</v>
      </c>
      <c r="H104" s="37" t="s">
        <v>142</v>
      </c>
      <c r="I104" s="37" t="s">
        <v>435</v>
      </c>
      <c r="J104" s="37" t="s">
        <v>294</v>
      </c>
      <c r="K104" s="34" t="s">
        <v>1550</v>
      </c>
      <c r="L104" s="34">
        <f t="shared" si="1"/>
        <v>1.6666666666666666E-2</v>
      </c>
      <c r="M104" s="39" t="s">
        <v>1532</v>
      </c>
    </row>
    <row r="105" spans="1:13" ht="32">
      <c r="A105" s="41" t="s">
        <v>1579</v>
      </c>
      <c r="B105" s="44" t="s">
        <v>436</v>
      </c>
      <c r="C105" s="37" t="s">
        <v>1586</v>
      </c>
      <c r="D105" s="37" t="s">
        <v>341</v>
      </c>
      <c r="E105" s="37" t="s">
        <v>437</v>
      </c>
      <c r="F105" s="37" t="s">
        <v>191</v>
      </c>
      <c r="G105" s="37" t="s">
        <v>434</v>
      </c>
      <c r="H105" s="37" t="s">
        <v>142</v>
      </c>
      <c r="I105" s="37" t="s">
        <v>435</v>
      </c>
      <c r="J105" s="37" t="s">
        <v>294</v>
      </c>
      <c r="K105" s="34" t="s">
        <v>1550</v>
      </c>
      <c r="L105" s="34">
        <f t="shared" si="1"/>
        <v>1.6666666666666666E-2</v>
      </c>
      <c r="M105" s="39" t="s">
        <v>1532</v>
      </c>
    </row>
    <row r="106" spans="1:13" ht="32">
      <c r="A106" s="41" t="s">
        <v>1579</v>
      </c>
      <c r="B106" s="44" t="s">
        <v>438</v>
      </c>
      <c r="C106" s="37" t="s">
        <v>1586</v>
      </c>
      <c r="D106" s="37" t="s">
        <v>341</v>
      </c>
      <c r="E106" s="37" t="s">
        <v>439</v>
      </c>
      <c r="F106" s="37" t="s">
        <v>425</v>
      </c>
      <c r="G106" s="37" t="s">
        <v>434</v>
      </c>
      <c r="H106" s="37" t="s">
        <v>142</v>
      </c>
      <c r="I106" s="37" t="s">
        <v>440</v>
      </c>
      <c r="J106" s="37" t="s">
        <v>143</v>
      </c>
      <c r="K106" s="34" t="s">
        <v>1548</v>
      </c>
      <c r="L106" s="34">
        <f t="shared" si="1"/>
        <v>1.6666666666666666E-2</v>
      </c>
      <c r="M106" s="39" t="s">
        <v>1532</v>
      </c>
    </row>
    <row r="107" spans="1:13" ht="45">
      <c r="A107" s="41" t="s">
        <v>1579</v>
      </c>
      <c r="B107" s="44" t="s">
        <v>441</v>
      </c>
      <c r="C107" s="37" t="s">
        <v>1586</v>
      </c>
      <c r="D107" s="37" t="s">
        <v>341</v>
      </c>
      <c r="E107" s="37" t="s">
        <v>442</v>
      </c>
      <c r="F107" s="37" t="s">
        <v>287</v>
      </c>
      <c r="G107" s="37" t="s">
        <v>443</v>
      </c>
      <c r="H107" s="37" t="s">
        <v>28</v>
      </c>
      <c r="I107" s="37" t="s">
        <v>444</v>
      </c>
      <c r="J107" s="37" t="s">
        <v>445</v>
      </c>
      <c r="K107" s="34" t="s">
        <v>1550</v>
      </c>
      <c r="L107" s="34">
        <f t="shared" si="1"/>
        <v>1.6666666666666666E-2</v>
      </c>
      <c r="M107" s="39" t="s">
        <v>1532</v>
      </c>
    </row>
    <row r="108" spans="1:13" ht="32" hidden="1">
      <c r="A108" s="41" t="s">
        <v>1579</v>
      </c>
      <c r="B108" s="44" t="s">
        <v>446</v>
      </c>
      <c r="C108" s="37" t="s">
        <v>1584</v>
      </c>
      <c r="D108" s="37" t="s">
        <v>341</v>
      </c>
      <c r="E108" s="37" t="s">
        <v>447</v>
      </c>
      <c r="F108" s="37" t="s">
        <v>191</v>
      </c>
      <c r="G108" s="37" t="s">
        <v>415</v>
      </c>
      <c r="H108" s="37" t="s">
        <v>142</v>
      </c>
      <c r="I108" s="37" t="s">
        <v>172</v>
      </c>
      <c r="J108" s="37" t="s">
        <v>294</v>
      </c>
      <c r="K108" s="34" t="s">
        <v>1550</v>
      </c>
      <c r="L108" s="34">
        <f t="shared" si="1"/>
        <v>1.6666666666666666E-2</v>
      </c>
      <c r="M108" s="39" t="s">
        <v>1532</v>
      </c>
    </row>
    <row r="109" spans="1:13" ht="32" hidden="1">
      <c r="A109" s="41" t="s">
        <v>1579</v>
      </c>
      <c r="B109" s="44" t="s">
        <v>448</v>
      </c>
      <c r="C109" s="37" t="s">
        <v>1584</v>
      </c>
      <c r="D109" s="37" t="s">
        <v>341</v>
      </c>
      <c r="E109" s="37" t="s">
        <v>449</v>
      </c>
      <c r="F109" s="37" t="s">
        <v>191</v>
      </c>
      <c r="G109" s="37" t="s">
        <v>415</v>
      </c>
      <c r="H109" s="37" t="s">
        <v>86</v>
      </c>
      <c r="I109" s="37" t="s">
        <v>450</v>
      </c>
      <c r="J109" s="37" t="s">
        <v>451</v>
      </c>
      <c r="K109" s="34" t="s">
        <v>1550</v>
      </c>
      <c r="L109" s="34">
        <f t="shared" si="1"/>
        <v>1.6666666666666666E-2</v>
      </c>
      <c r="M109" s="39" t="s">
        <v>1532</v>
      </c>
    </row>
    <row r="110" spans="1:13" ht="45">
      <c r="A110" s="41" t="s">
        <v>1579</v>
      </c>
      <c r="B110" s="44" t="s">
        <v>452</v>
      </c>
      <c r="C110" s="37" t="s">
        <v>1586</v>
      </c>
      <c r="D110" s="37" t="s">
        <v>453</v>
      </c>
      <c r="E110" s="37" t="s">
        <v>454</v>
      </c>
      <c r="F110" s="37" t="s">
        <v>191</v>
      </c>
      <c r="G110" s="37" t="s">
        <v>192</v>
      </c>
      <c r="H110" s="37" t="s">
        <v>28</v>
      </c>
      <c r="I110" s="37" t="s">
        <v>302</v>
      </c>
      <c r="J110" s="37" t="s">
        <v>455</v>
      </c>
      <c r="K110" s="34" t="s">
        <v>1548</v>
      </c>
      <c r="L110" s="34">
        <f t="shared" si="1"/>
        <v>1.6666666666666666E-2</v>
      </c>
      <c r="M110" s="39" t="s">
        <v>1532</v>
      </c>
    </row>
    <row r="111" spans="1:13" ht="45">
      <c r="A111" s="41" t="s">
        <v>1579</v>
      </c>
      <c r="B111" s="44" t="s">
        <v>456</v>
      </c>
      <c r="C111" s="37" t="s">
        <v>1586</v>
      </c>
      <c r="D111" s="37" t="s">
        <v>453</v>
      </c>
      <c r="E111" s="37" t="s">
        <v>457</v>
      </c>
      <c r="F111" s="37" t="s">
        <v>458</v>
      </c>
      <c r="G111" s="37" t="s">
        <v>459</v>
      </c>
      <c r="H111" s="37" t="s">
        <v>28</v>
      </c>
      <c r="I111" s="37" t="s">
        <v>460</v>
      </c>
      <c r="J111" s="37" t="s">
        <v>461</v>
      </c>
      <c r="K111" s="34" t="s">
        <v>1550</v>
      </c>
      <c r="L111" s="34">
        <f t="shared" si="1"/>
        <v>1.6666666666666666E-2</v>
      </c>
      <c r="M111" s="39" t="s">
        <v>1532</v>
      </c>
    </row>
    <row r="112" spans="1:13" ht="45">
      <c r="A112" s="41" t="s">
        <v>1579</v>
      </c>
      <c r="B112" s="44" t="s">
        <v>462</v>
      </c>
      <c r="C112" s="37" t="s">
        <v>1586</v>
      </c>
      <c r="D112" s="37" t="s">
        <v>453</v>
      </c>
      <c r="E112" s="37" t="s">
        <v>463</v>
      </c>
      <c r="F112" s="37" t="s">
        <v>458</v>
      </c>
      <c r="G112" s="37" t="s">
        <v>459</v>
      </c>
      <c r="H112" s="37" t="s">
        <v>28</v>
      </c>
      <c r="I112" s="37" t="s">
        <v>460</v>
      </c>
      <c r="J112" s="37" t="s">
        <v>461</v>
      </c>
      <c r="K112" s="34" t="s">
        <v>1550</v>
      </c>
      <c r="L112" s="34">
        <f t="shared" si="1"/>
        <v>1.6666666666666666E-2</v>
      </c>
      <c r="M112" s="39" t="s">
        <v>1532</v>
      </c>
    </row>
    <row r="113" spans="1:13" ht="45">
      <c r="A113" s="41" t="s">
        <v>1579</v>
      </c>
      <c r="B113" s="44" t="s">
        <v>464</v>
      </c>
      <c r="C113" s="37" t="s">
        <v>1586</v>
      </c>
      <c r="D113" s="37" t="s">
        <v>453</v>
      </c>
      <c r="E113" s="37" t="s">
        <v>465</v>
      </c>
      <c r="F113" s="37" t="s">
        <v>458</v>
      </c>
      <c r="G113" s="37" t="s">
        <v>415</v>
      </c>
      <c r="H113" s="37" t="s">
        <v>142</v>
      </c>
      <c r="I113" s="37" t="s">
        <v>466</v>
      </c>
      <c r="J113" s="37" t="s">
        <v>467</v>
      </c>
      <c r="K113" s="34" t="s">
        <v>1550</v>
      </c>
      <c r="L113" s="34">
        <f t="shared" si="1"/>
        <v>1.6666666666666666E-2</v>
      </c>
      <c r="M113" s="39" t="s">
        <v>1532</v>
      </c>
    </row>
    <row r="114" spans="1:13" ht="45">
      <c r="A114" s="41" t="s">
        <v>1579</v>
      </c>
      <c r="B114" s="44" t="s">
        <v>468</v>
      </c>
      <c r="C114" s="37" t="s">
        <v>1586</v>
      </c>
      <c r="D114" s="37" t="s">
        <v>453</v>
      </c>
      <c r="E114" s="37" t="s">
        <v>469</v>
      </c>
      <c r="F114" s="37" t="s">
        <v>458</v>
      </c>
      <c r="G114" s="37" t="s">
        <v>415</v>
      </c>
      <c r="H114" s="37" t="s">
        <v>142</v>
      </c>
      <c r="I114" s="37" t="s">
        <v>466</v>
      </c>
      <c r="J114" s="37" t="s">
        <v>467</v>
      </c>
      <c r="K114" s="34" t="s">
        <v>1550</v>
      </c>
      <c r="L114" s="34">
        <f t="shared" si="1"/>
        <v>1.6666666666666666E-2</v>
      </c>
      <c r="M114" s="39" t="s">
        <v>1532</v>
      </c>
    </row>
    <row r="115" spans="1:13" ht="32">
      <c r="A115" s="41" t="s">
        <v>1579</v>
      </c>
      <c r="B115" s="44" t="s">
        <v>470</v>
      </c>
      <c r="C115" s="37" t="s">
        <v>1586</v>
      </c>
      <c r="D115" s="37" t="s">
        <v>453</v>
      </c>
      <c r="E115" s="37" t="s">
        <v>471</v>
      </c>
      <c r="F115" s="37" t="s">
        <v>458</v>
      </c>
      <c r="G115" s="37" t="s">
        <v>415</v>
      </c>
      <c r="H115" s="37" t="s">
        <v>28</v>
      </c>
      <c r="I115" s="37" t="s">
        <v>472</v>
      </c>
      <c r="J115" s="37" t="s">
        <v>473</v>
      </c>
      <c r="K115" s="34" t="s">
        <v>1550</v>
      </c>
      <c r="L115" s="34">
        <f t="shared" si="1"/>
        <v>1.6666666666666666E-2</v>
      </c>
      <c r="M115" s="39" t="s">
        <v>1532</v>
      </c>
    </row>
    <row r="116" spans="1:13" ht="32">
      <c r="A116" s="41" t="s">
        <v>1579</v>
      </c>
      <c r="B116" s="44" t="s">
        <v>474</v>
      </c>
      <c r="C116" s="37" t="s">
        <v>1586</v>
      </c>
      <c r="D116" s="37" t="s">
        <v>453</v>
      </c>
      <c r="E116" s="37" t="s">
        <v>475</v>
      </c>
      <c r="F116" s="37" t="s">
        <v>458</v>
      </c>
      <c r="G116" s="37" t="s">
        <v>415</v>
      </c>
      <c r="H116" s="37" t="s">
        <v>28</v>
      </c>
      <c r="I116" s="37" t="s">
        <v>476</v>
      </c>
      <c r="J116" s="37" t="s">
        <v>294</v>
      </c>
      <c r="K116" s="34" t="s">
        <v>1550</v>
      </c>
      <c r="L116" s="34">
        <f t="shared" si="1"/>
        <v>1.6666666666666666E-2</v>
      </c>
      <c r="M116" s="39" t="s">
        <v>1532</v>
      </c>
    </row>
    <row r="117" spans="1:13" ht="45">
      <c r="A117" s="41" t="s">
        <v>1579</v>
      </c>
      <c r="B117" s="44" t="s">
        <v>477</v>
      </c>
      <c r="C117" s="37" t="s">
        <v>1586</v>
      </c>
      <c r="D117" s="37" t="s">
        <v>453</v>
      </c>
      <c r="E117" s="37" t="s">
        <v>478</v>
      </c>
      <c r="F117" s="37" t="s">
        <v>84</v>
      </c>
      <c r="G117" s="37" t="s">
        <v>479</v>
      </c>
      <c r="H117" s="37" t="s">
        <v>86</v>
      </c>
      <c r="I117" s="37" t="s">
        <v>302</v>
      </c>
      <c r="J117" s="37" t="s">
        <v>480</v>
      </c>
      <c r="K117" s="34" t="s">
        <v>1553</v>
      </c>
      <c r="L117" s="34">
        <f t="shared" si="1"/>
        <v>1.6666666666666666E-2</v>
      </c>
      <c r="M117" s="39" t="s">
        <v>1532</v>
      </c>
    </row>
    <row r="118" spans="1:13" ht="32">
      <c r="A118" s="41" t="s">
        <v>1579</v>
      </c>
      <c r="B118" s="44" t="s">
        <v>481</v>
      </c>
      <c r="C118" s="37" t="s">
        <v>1586</v>
      </c>
      <c r="D118" s="37" t="s">
        <v>453</v>
      </c>
      <c r="E118" s="37" t="s">
        <v>482</v>
      </c>
      <c r="F118" s="37" t="s">
        <v>176</v>
      </c>
      <c r="G118" s="37" t="s">
        <v>197</v>
      </c>
      <c r="H118" s="37" t="s">
        <v>28</v>
      </c>
      <c r="I118" s="37" t="s">
        <v>483</v>
      </c>
      <c r="J118" s="37" t="s">
        <v>467</v>
      </c>
      <c r="K118" s="34" t="s">
        <v>1548</v>
      </c>
      <c r="L118" s="34">
        <f t="shared" si="1"/>
        <v>1.6666666666666666E-2</v>
      </c>
      <c r="M118" s="39" t="s">
        <v>1532</v>
      </c>
    </row>
    <row r="119" spans="1:13" ht="32">
      <c r="A119" s="41" t="s">
        <v>1579</v>
      </c>
      <c r="B119" s="44" t="s">
        <v>484</v>
      </c>
      <c r="C119" s="37" t="s">
        <v>1586</v>
      </c>
      <c r="D119" s="37" t="s">
        <v>453</v>
      </c>
      <c r="E119" s="37" t="s">
        <v>485</v>
      </c>
      <c r="F119" s="37" t="s">
        <v>239</v>
      </c>
      <c r="G119" s="37" t="s">
        <v>486</v>
      </c>
      <c r="H119" s="37" t="s">
        <v>28</v>
      </c>
      <c r="I119" s="37" t="s">
        <v>482</v>
      </c>
      <c r="J119" s="37" t="s">
        <v>143</v>
      </c>
      <c r="K119" s="34" t="s">
        <v>1553</v>
      </c>
      <c r="L119" s="34">
        <f t="shared" si="1"/>
        <v>1.6666666666666666E-2</v>
      </c>
      <c r="M119" s="39" t="s">
        <v>1532</v>
      </c>
    </row>
    <row r="120" spans="1:13" ht="32">
      <c r="A120" s="41" t="s">
        <v>1579</v>
      </c>
      <c r="B120" s="44" t="s">
        <v>487</v>
      </c>
      <c r="C120" s="37" t="s">
        <v>1586</v>
      </c>
      <c r="D120" s="37" t="s">
        <v>453</v>
      </c>
      <c r="E120" s="37" t="s">
        <v>488</v>
      </c>
      <c r="F120" s="37" t="s">
        <v>176</v>
      </c>
      <c r="G120" s="37" t="s">
        <v>197</v>
      </c>
      <c r="H120" s="37" t="s">
        <v>86</v>
      </c>
      <c r="I120" s="37" t="s">
        <v>302</v>
      </c>
      <c r="J120" s="37" t="s">
        <v>489</v>
      </c>
      <c r="K120" s="34" t="s">
        <v>1553</v>
      </c>
      <c r="L120" s="34">
        <f t="shared" si="1"/>
        <v>1.6666666666666666E-2</v>
      </c>
      <c r="M120" s="39" t="s">
        <v>1532</v>
      </c>
    </row>
    <row r="121" spans="1:13" ht="60">
      <c r="A121" s="41" t="s">
        <v>1579</v>
      </c>
      <c r="B121" s="44" t="s">
        <v>490</v>
      </c>
      <c r="C121" s="37" t="s">
        <v>1586</v>
      </c>
      <c r="D121" s="37" t="s">
        <v>453</v>
      </c>
      <c r="E121" s="37" t="s">
        <v>491</v>
      </c>
      <c r="F121" s="37" t="s">
        <v>96</v>
      </c>
      <c r="G121" s="37" t="s">
        <v>492</v>
      </c>
      <c r="H121" s="37" t="s">
        <v>28</v>
      </c>
      <c r="I121" s="37" t="s">
        <v>493</v>
      </c>
      <c r="J121" s="37" t="s">
        <v>143</v>
      </c>
      <c r="K121" s="34" t="s">
        <v>1550</v>
      </c>
      <c r="L121" s="34">
        <f t="shared" si="1"/>
        <v>1.6666666666666666E-2</v>
      </c>
      <c r="M121" s="39" t="s">
        <v>1532</v>
      </c>
    </row>
    <row r="122" spans="1:13" ht="60">
      <c r="A122" s="41" t="s">
        <v>1579</v>
      </c>
      <c r="B122" s="44" t="s">
        <v>494</v>
      </c>
      <c r="C122" s="37" t="s">
        <v>1586</v>
      </c>
      <c r="D122" s="37" t="s">
        <v>453</v>
      </c>
      <c r="E122" s="37" t="s">
        <v>495</v>
      </c>
      <c r="F122" s="37" t="s">
        <v>84</v>
      </c>
      <c r="G122" s="37" t="s">
        <v>496</v>
      </c>
      <c r="H122" s="37" t="s">
        <v>28</v>
      </c>
      <c r="I122" s="37" t="s">
        <v>497</v>
      </c>
      <c r="J122" s="37" t="s">
        <v>241</v>
      </c>
      <c r="K122" s="34" t="s">
        <v>1550</v>
      </c>
      <c r="L122" s="34">
        <f t="shared" si="1"/>
        <v>1.6666666666666666E-2</v>
      </c>
      <c r="M122" s="39" t="s">
        <v>1532</v>
      </c>
    </row>
    <row r="123" spans="1:13" ht="32">
      <c r="A123" s="41" t="s">
        <v>1579</v>
      </c>
      <c r="B123" s="44" t="s">
        <v>498</v>
      </c>
      <c r="C123" s="37" t="s">
        <v>1586</v>
      </c>
      <c r="D123" s="37" t="s">
        <v>453</v>
      </c>
      <c r="E123" s="37" t="s">
        <v>499</v>
      </c>
      <c r="F123" s="37" t="s">
        <v>359</v>
      </c>
      <c r="G123" s="37" t="s">
        <v>177</v>
      </c>
      <c r="H123" s="37" t="s">
        <v>28</v>
      </c>
      <c r="I123" s="37" t="s">
        <v>497</v>
      </c>
      <c r="J123" s="37" t="s">
        <v>241</v>
      </c>
      <c r="K123" s="34" t="s">
        <v>1550</v>
      </c>
      <c r="L123" s="34">
        <f t="shared" si="1"/>
        <v>1.6666666666666666E-2</v>
      </c>
      <c r="M123" s="39" t="s">
        <v>1532</v>
      </c>
    </row>
    <row r="124" spans="1:13" ht="45">
      <c r="A124" s="41" t="s">
        <v>1579</v>
      </c>
      <c r="B124" s="44" t="s">
        <v>500</v>
      </c>
      <c r="C124" s="37" t="s">
        <v>1586</v>
      </c>
      <c r="D124" s="37" t="s">
        <v>453</v>
      </c>
      <c r="E124" s="37" t="s">
        <v>501</v>
      </c>
      <c r="F124" s="37" t="s">
        <v>84</v>
      </c>
      <c r="G124" s="37" t="s">
        <v>502</v>
      </c>
      <c r="H124" s="37" t="s">
        <v>28</v>
      </c>
      <c r="I124" s="37" t="s">
        <v>503</v>
      </c>
      <c r="J124" s="37" t="s">
        <v>241</v>
      </c>
      <c r="K124" s="34" t="s">
        <v>1550</v>
      </c>
      <c r="L124" s="34">
        <f t="shared" si="1"/>
        <v>1.6666666666666666E-2</v>
      </c>
      <c r="M124" s="39" t="s">
        <v>1532</v>
      </c>
    </row>
    <row r="125" spans="1:13" ht="45">
      <c r="A125" s="41" t="s">
        <v>1579</v>
      </c>
      <c r="B125" s="44" t="s">
        <v>504</v>
      </c>
      <c r="C125" s="37" t="s">
        <v>1586</v>
      </c>
      <c r="D125" s="37" t="s">
        <v>453</v>
      </c>
      <c r="E125" s="37" t="s">
        <v>505</v>
      </c>
      <c r="F125" s="37" t="s">
        <v>84</v>
      </c>
      <c r="G125" s="37" t="s">
        <v>506</v>
      </c>
      <c r="H125" s="37" t="s">
        <v>28</v>
      </c>
      <c r="I125" s="37" t="s">
        <v>507</v>
      </c>
      <c r="J125" s="37" t="s">
        <v>508</v>
      </c>
      <c r="K125" s="34" t="s">
        <v>1548</v>
      </c>
      <c r="L125" s="34">
        <f t="shared" si="1"/>
        <v>1.6666666666666666E-2</v>
      </c>
      <c r="M125" s="39" t="s">
        <v>1532</v>
      </c>
    </row>
    <row r="126" spans="1:13" ht="45">
      <c r="A126" s="41" t="s">
        <v>1579</v>
      </c>
      <c r="B126" s="44" t="s">
        <v>509</v>
      </c>
      <c r="C126" s="37" t="s">
        <v>1586</v>
      </c>
      <c r="D126" s="37" t="s">
        <v>453</v>
      </c>
      <c r="E126" s="37" t="s">
        <v>510</v>
      </c>
      <c r="F126" s="37" t="s">
        <v>84</v>
      </c>
      <c r="G126" s="37" t="s">
        <v>511</v>
      </c>
      <c r="H126" s="37" t="s">
        <v>28</v>
      </c>
      <c r="I126" s="37" t="s">
        <v>512</v>
      </c>
      <c r="J126" s="37" t="s">
        <v>241</v>
      </c>
      <c r="K126" s="34" t="s">
        <v>1550</v>
      </c>
      <c r="L126" s="34">
        <f t="shared" si="1"/>
        <v>1.6666666666666666E-2</v>
      </c>
      <c r="M126" s="39" t="s">
        <v>1532</v>
      </c>
    </row>
    <row r="127" spans="1:13" ht="75">
      <c r="A127" s="41" t="s">
        <v>1579</v>
      </c>
      <c r="B127" s="44" t="s">
        <v>513</v>
      </c>
      <c r="C127" s="37" t="s">
        <v>1586</v>
      </c>
      <c r="D127" s="37" t="s">
        <v>453</v>
      </c>
      <c r="E127" s="37" t="s">
        <v>514</v>
      </c>
      <c r="F127" s="37" t="s">
        <v>84</v>
      </c>
      <c r="G127" s="37" t="s">
        <v>515</v>
      </c>
      <c r="H127" s="37" t="s">
        <v>86</v>
      </c>
      <c r="I127" s="37" t="s">
        <v>302</v>
      </c>
      <c r="J127" s="37" t="s">
        <v>516</v>
      </c>
      <c r="K127" s="34" t="s">
        <v>1550</v>
      </c>
      <c r="L127" s="34">
        <f t="shared" si="1"/>
        <v>1.6666666666666666E-2</v>
      </c>
      <c r="M127" s="39" t="s">
        <v>1532</v>
      </c>
    </row>
    <row r="128" spans="1:13" ht="90">
      <c r="A128" s="41" t="s">
        <v>1579</v>
      </c>
      <c r="B128" s="44" t="s">
        <v>517</v>
      </c>
      <c r="C128" s="37" t="s">
        <v>1586</v>
      </c>
      <c r="D128" s="37" t="s">
        <v>453</v>
      </c>
      <c r="E128" s="37" t="s">
        <v>518</v>
      </c>
      <c r="F128" s="37" t="s">
        <v>84</v>
      </c>
      <c r="G128" s="37" t="s">
        <v>519</v>
      </c>
      <c r="H128" s="37" t="s">
        <v>86</v>
      </c>
      <c r="I128" s="37" t="s">
        <v>302</v>
      </c>
      <c r="J128" s="37" t="s">
        <v>294</v>
      </c>
      <c r="K128" s="34" t="s">
        <v>1550</v>
      </c>
      <c r="L128" s="34">
        <f t="shared" si="1"/>
        <v>1.6666666666666666E-2</v>
      </c>
      <c r="M128" s="39" t="s">
        <v>1532</v>
      </c>
    </row>
    <row r="129" spans="1:13" ht="60">
      <c r="A129" s="41" t="s">
        <v>1579</v>
      </c>
      <c r="B129" s="44" t="s">
        <v>520</v>
      </c>
      <c r="C129" s="37" t="s">
        <v>1586</v>
      </c>
      <c r="D129" s="37" t="s">
        <v>453</v>
      </c>
      <c r="E129" s="37" t="s">
        <v>521</v>
      </c>
      <c r="F129" s="37" t="s">
        <v>84</v>
      </c>
      <c r="G129" s="37" t="s">
        <v>522</v>
      </c>
      <c r="H129" s="37" t="s">
        <v>86</v>
      </c>
      <c r="I129" s="37" t="s">
        <v>523</v>
      </c>
      <c r="J129" s="37" t="s">
        <v>467</v>
      </c>
      <c r="K129" s="34" t="s">
        <v>1550</v>
      </c>
      <c r="L129" s="34">
        <f t="shared" si="1"/>
        <v>1.6666666666666666E-2</v>
      </c>
      <c r="M129" s="39" t="s">
        <v>1532</v>
      </c>
    </row>
    <row r="130" spans="1:13" ht="60">
      <c r="A130" s="41" t="s">
        <v>1579</v>
      </c>
      <c r="B130" s="44" t="s">
        <v>524</v>
      </c>
      <c r="C130" s="37" t="s">
        <v>1586</v>
      </c>
      <c r="D130" s="37" t="s">
        <v>453</v>
      </c>
      <c r="E130" s="37" t="s">
        <v>525</v>
      </c>
      <c r="F130" s="37" t="s">
        <v>152</v>
      </c>
      <c r="G130" s="37" t="s">
        <v>526</v>
      </c>
      <c r="H130" s="37" t="s">
        <v>28</v>
      </c>
      <c r="I130" s="37" t="s">
        <v>527</v>
      </c>
      <c r="J130" s="37" t="s">
        <v>528</v>
      </c>
      <c r="K130" s="34" t="s">
        <v>1550</v>
      </c>
      <c r="L130" s="34">
        <f t="shared" si="1"/>
        <v>1.6666666666666666E-2</v>
      </c>
      <c r="M130" s="39" t="s">
        <v>1532</v>
      </c>
    </row>
    <row r="131" spans="1:13" ht="32">
      <c r="A131" s="41" t="s">
        <v>1579</v>
      </c>
      <c r="B131" s="44" t="s">
        <v>529</v>
      </c>
      <c r="C131" s="37" t="s">
        <v>1586</v>
      </c>
      <c r="D131" s="37" t="s">
        <v>530</v>
      </c>
      <c r="E131" s="37" t="s">
        <v>531</v>
      </c>
      <c r="F131" s="37" t="s">
        <v>458</v>
      </c>
      <c r="G131" s="37" t="s">
        <v>532</v>
      </c>
      <c r="H131" s="37" t="s">
        <v>142</v>
      </c>
      <c r="I131" s="37" t="s">
        <v>533</v>
      </c>
      <c r="J131" s="37" t="s">
        <v>534</v>
      </c>
      <c r="K131" s="34" t="s">
        <v>1550</v>
      </c>
      <c r="L131" s="34">
        <f t="shared" si="1"/>
        <v>1.6666666666666666E-2</v>
      </c>
      <c r="M131" s="39" t="s">
        <v>1532</v>
      </c>
    </row>
    <row r="132" spans="1:13" ht="32">
      <c r="A132" s="41" t="s">
        <v>1579</v>
      </c>
      <c r="B132" s="44" t="s">
        <v>535</v>
      </c>
      <c r="C132" s="37" t="s">
        <v>1586</v>
      </c>
      <c r="D132" s="37" t="s">
        <v>530</v>
      </c>
      <c r="E132" s="37" t="s">
        <v>536</v>
      </c>
      <c r="F132" s="37" t="s">
        <v>425</v>
      </c>
      <c r="G132" s="37" t="s">
        <v>537</v>
      </c>
      <c r="H132" s="37" t="s">
        <v>142</v>
      </c>
      <c r="I132" s="37" t="s">
        <v>538</v>
      </c>
      <c r="J132" s="37" t="s">
        <v>143</v>
      </c>
      <c r="K132" s="34" t="s">
        <v>1548</v>
      </c>
      <c r="L132" s="34">
        <f t="shared" ref="L132:L195" si="2">1/60</f>
        <v>1.6666666666666666E-2</v>
      </c>
      <c r="M132" s="39" t="s">
        <v>1532</v>
      </c>
    </row>
    <row r="133" spans="1:13" ht="45">
      <c r="A133" s="41" t="s">
        <v>1579</v>
      </c>
      <c r="B133" s="44" t="s">
        <v>539</v>
      </c>
      <c r="C133" s="37" t="s">
        <v>1586</v>
      </c>
      <c r="D133" s="37" t="s">
        <v>530</v>
      </c>
      <c r="E133" s="37" t="s">
        <v>540</v>
      </c>
      <c r="F133" s="37" t="s">
        <v>458</v>
      </c>
      <c r="G133" s="37" t="s">
        <v>541</v>
      </c>
      <c r="H133" s="37" t="s">
        <v>28</v>
      </c>
      <c r="I133" s="37" t="s">
        <v>460</v>
      </c>
      <c r="J133" s="37" t="s">
        <v>516</v>
      </c>
      <c r="K133" s="34" t="s">
        <v>1550</v>
      </c>
      <c r="L133" s="34">
        <f t="shared" si="2"/>
        <v>1.6666666666666666E-2</v>
      </c>
      <c r="M133" s="39" t="s">
        <v>1532</v>
      </c>
    </row>
    <row r="134" spans="1:13" ht="32">
      <c r="A134" s="41" t="s">
        <v>1579</v>
      </c>
      <c r="B134" s="44" t="s">
        <v>542</v>
      </c>
      <c r="C134" s="37" t="s">
        <v>1586</v>
      </c>
      <c r="D134" s="37" t="s">
        <v>530</v>
      </c>
      <c r="E134" s="37" t="s">
        <v>543</v>
      </c>
      <c r="F134" s="37" t="s">
        <v>458</v>
      </c>
      <c r="G134" s="37" t="s">
        <v>544</v>
      </c>
      <c r="H134" s="37" t="s">
        <v>142</v>
      </c>
      <c r="I134" s="37" t="s">
        <v>545</v>
      </c>
      <c r="J134" s="37" t="s">
        <v>294</v>
      </c>
      <c r="K134" s="34" t="s">
        <v>1548</v>
      </c>
      <c r="L134" s="34">
        <f t="shared" si="2"/>
        <v>1.6666666666666666E-2</v>
      </c>
      <c r="M134" s="39" t="s">
        <v>1532</v>
      </c>
    </row>
    <row r="135" spans="1:13" ht="32">
      <c r="A135" s="41" t="s">
        <v>1579</v>
      </c>
      <c r="B135" s="44" t="s">
        <v>546</v>
      </c>
      <c r="C135" s="37" t="s">
        <v>1586</v>
      </c>
      <c r="D135" s="37" t="s">
        <v>530</v>
      </c>
      <c r="E135" s="37" t="s">
        <v>547</v>
      </c>
      <c r="F135" s="37" t="s">
        <v>458</v>
      </c>
      <c r="G135" s="37" t="s">
        <v>541</v>
      </c>
      <c r="H135" s="37" t="s">
        <v>28</v>
      </c>
      <c r="I135" s="37" t="s">
        <v>548</v>
      </c>
      <c r="J135" s="37" t="s">
        <v>549</v>
      </c>
      <c r="K135" s="34" t="s">
        <v>1550</v>
      </c>
      <c r="L135" s="34">
        <f t="shared" si="2"/>
        <v>1.6666666666666666E-2</v>
      </c>
      <c r="M135" s="39" t="s">
        <v>1532</v>
      </c>
    </row>
    <row r="136" spans="1:13" ht="45">
      <c r="A136" s="41" t="s">
        <v>1579</v>
      </c>
      <c r="B136" s="44" t="s">
        <v>550</v>
      </c>
      <c r="C136" s="37" t="s">
        <v>1586</v>
      </c>
      <c r="D136" s="37" t="s">
        <v>530</v>
      </c>
      <c r="E136" s="37" t="s">
        <v>551</v>
      </c>
      <c r="F136" s="37" t="s">
        <v>458</v>
      </c>
      <c r="G136" s="37" t="s">
        <v>541</v>
      </c>
      <c r="H136" s="37" t="s">
        <v>86</v>
      </c>
      <c r="I136" s="37" t="s">
        <v>552</v>
      </c>
      <c r="J136" s="37" t="s">
        <v>516</v>
      </c>
      <c r="K136" s="34" t="s">
        <v>1550</v>
      </c>
      <c r="L136" s="34">
        <f t="shared" si="2"/>
        <v>1.6666666666666666E-2</v>
      </c>
      <c r="M136" s="39" t="s">
        <v>1532</v>
      </c>
    </row>
    <row r="137" spans="1:13" ht="32">
      <c r="A137" s="41" t="s">
        <v>1579</v>
      </c>
      <c r="B137" s="44" t="s">
        <v>553</v>
      </c>
      <c r="C137" s="37" t="s">
        <v>1586</v>
      </c>
      <c r="D137" s="37" t="s">
        <v>530</v>
      </c>
      <c r="E137" s="37" t="s">
        <v>554</v>
      </c>
      <c r="F137" s="37" t="s">
        <v>191</v>
      </c>
      <c r="G137" s="37" t="s">
        <v>544</v>
      </c>
      <c r="H137" s="37" t="s">
        <v>142</v>
      </c>
      <c r="I137" s="37" t="s">
        <v>555</v>
      </c>
      <c r="J137" s="37" t="s">
        <v>294</v>
      </c>
      <c r="K137" s="34" t="s">
        <v>1548</v>
      </c>
      <c r="L137" s="34">
        <f t="shared" si="2"/>
        <v>1.6666666666666666E-2</v>
      </c>
      <c r="M137" s="39" t="s">
        <v>1532</v>
      </c>
    </row>
    <row r="138" spans="1:13" ht="32">
      <c r="A138" s="41" t="s">
        <v>1579</v>
      </c>
      <c r="B138" s="44" t="s">
        <v>556</v>
      </c>
      <c r="C138" s="37" t="s">
        <v>1586</v>
      </c>
      <c r="D138" s="37" t="s">
        <v>530</v>
      </c>
      <c r="E138" s="37" t="s">
        <v>557</v>
      </c>
      <c r="F138" s="37" t="s">
        <v>458</v>
      </c>
      <c r="G138" s="37" t="s">
        <v>541</v>
      </c>
      <c r="H138" s="37" t="s">
        <v>28</v>
      </c>
      <c r="I138" s="37" t="s">
        <v>558</v>
      </c>
      <c r="J138" s="37" t="s">
        <v>143</v>
      </c>
      <c r="K138" s="34" t="s">
        <v>1548</v>
      </c>
      <c r="L138" s="34">
        <f t="shared" si="2"/>
        <v>1.6666666666666666E-2</v>
      </c>
      <c r="M138" s="39" t="s">
        <v>1532</v>
      </c>
    </row>
    <row r="139" spans="1:13" ht="45">
      <c r="A139" s="41" t="s">
        <v>1579</v>
      </c>
      <c r="B139" s="44" t="s">
        <v>559</v>
      </c>
      <c r="C139" s="37" t="s">
        <v>1586</v>
      </c>
      <c r="D139" s="37" t="s">
        <v>530</v>
      </c>
      <c r="E139" s="37" t="s">
        <v>560</v>
      </c>
      <c r="F139" s="37" t="s">
        <v>458</v>
      </c>
      <c r="G139" s="37" t="s">
        <v>561</v>
      </c>
      <c r="H139" s="37" t="s">
        <v>142</v>
      </c>
      <c r="I139" s="37" t="s">
        <v>562</v>
      </c>
      <c r="J139" s="37" t="s">
        <v>143</v>
      </c>
      <c r="K139" s="34" t="s">
        <v>1548</v>
      </c>
      <c r="L139" s="34">
        <f t="shared" si="2"/>
        <v>1.6666666666666666E-2</v>
      </c>
      <c r="M139" s="39" t="s">
        <v>1532</v>
      </c>
    </row>
    <row r="140" spans="1:13" ht="32" hidden="1">
      <c r="A140" s="41" t="s">
        <v>1579</v>
      </c>
      <c r="B140" s="44" t="s">
        <v>563</v>
      </c>
      <c r="C140" s="37" t="s">
        <v>1585</v>
      </c>
      <c r="D140" s="37" t="s">
        <v>530</v>
      </c>
      <c r="E140" s="37" t="s">
        <v>564</v>
      </c>
      <c r="F140" s="37" t="s">
        <v>96</v>
      </c>
      <c r="G140" s="37" t="s">
        <v>117</v>
      </c>
      <c r="H140" s="37" t="s">
        <v>28</v>
      </c>
      <c r="I140" s="37" t="s">
        <v>565</v>
      </c>
      <c r="J140" s="37" t="s">
        <v>173</v>
      </c>
      <c r="K140" s="34" t="s">
        <v>1550</v>
      </c>
      <c r="L140" s="34">
        <f t="shared" si="2"/>
        <v>1.6666666666666666E-2</v>
      </c>
      <c r="M140" s="39" t="s">
        <v>1532</v>
      </c>
    </row>
    <row r="141" spans="1:13" ht="32">
      <c r="A141" s="41" t="s">
        <v>1579</v>
      </c>
      <c r="B141" s="44" t="s">
        <v>566</v>
      </c>
      <c r="C141" s="37" t="s">
        <v>1586</v>
      </c>
      <c r="D141" s="37" t="s">
        <v>530</v>
      </c>
      <c r="E141" s="37" t="s">
        <v>567</v>
      </c>
      <c r="F141" s="37" t="s">
        <v>191</v>
      </c>
      <c r="G141" s="37" t="s">
        <v>415</v>
      </c>
      <c r="H141" s="37" t="s">
        <v>142</v>
      </c>
      <c r="I141" s="37" t="s">
        <v>565</v>
      </c>
      <c r="J141" s="37" t="s">
        <v>143</v>
      </c>
      <c r="K141" s="34" t="s">
        <v>1548</v>
      </c>
      <c r="L141" s="34">
        <f t="shared" si="2"/>
        <v>1.6666666666666666E-2</v>
      </c>
      <c r="M141" s="39" t="s">
        <v>1532</v>
      </c>
    </row>
    <row r="142" spans="1:13" ht="32">
      <c r="A142" s="41" t="s">
        <v>1579</v>
      </c>
      <c r="B142" s="44" t="s">
        <v>568</v>
      </c>
      <c r="C142" s="37" t="s">
        <v>1586</v>
      </c>
      <c r="D142" s="37" t="s">
        <v>530</v>
      </c>
      <c r="E142" s="37" t="s">
        <v>569</v>
      </c>
      <c r="F142" s="37" t="s">
        <v>191</v>
      </c>
      <c r="G142" s="37" t="s">
        <v>415</v>
      </c>
      <c r="H142" s="37" t="s">
        <v>28</v>
      </c>
      <c r="I142" s="37" t="s">
        <v>570</v>
      </c>
      <c r="J142" s="37" t="s">
        <v>214</v>
      </c>
      <c r="K142" s="34" t="s">
        <v>1550</v>
      </c>
      <c r="L142" s="34">
        <f t="shared" si="2"/>
        <v>1.6666666666666666E-2</v>
      </c>
      <c r="M142" s="39" t="s">
        <v>1532</v>
      </c>
    </row>
    <row r="143" spans="1:13" ht="32">
      <c r="A143" s="41" t="s">
        <v>1579</v>
      </c>
      <c r="B143" s="44" t="s">
        <v>571</v>
      </c>
      <c r="C143" s="37" t="s">
        <v>1586</v>
      </c>
      <c r="D143" s="37" t="s">
        <v>530</v>
      </c>
      <c r="E143" s="37" t="s">
        <v>572</v>
      </c>
      <c r="F143" s="37" t="s">
        <v>191</v>
      </c>
      <c r="G143" s="37" t="s">
        <v>415</v>
      </c>
      <c r="H143" s="37" t="s">
        <v>28</v>
      </c>
      <c r="I143" s="37" t="s">
        <v>570</v>
      </c>
      <c r="J143" s="37" t="s">
        <v>214</v>
      </c>
      <c r="K143" s="34" t="s">
        <v>1550</v>
      </c>
      <c r="L143" s="34">
        <f t="shared" si="2"/>
        <v>1.6666666666666666E-2</v>
      </c>
      <c r="M143" s="39" t="s">
        <v>1532</v>
      </c>
    </row>
    <row r="144" spans="1:13" ht="75">
      <c r="A144" s="41" t="s">
        <v>1579</v>
      </c>
      <c r="B144" s="44" t="s">
        <v>573</v>
      </c>
      <c r="C144" s="37" t="s">
        <v>1586</v>
      </c>
      <c r="D144" s="37" t="s">
        <v>530</v>
      </c>
      <c r="E144" s="37" t="s">
        <v>574</v>
      </c>
      <c r="F144" s="37" t="s">
        <v>92</v>
      </c>
      <c r="G144" s="37" t="s">
        <v>575</v>
      </c>
      <c r="H144" s="37" t="s">
        <v>28</v>
      </c>
      <c r="I144" s="37" t="s">
        <v>576</v>
      </c>
      <c r="J144" s="37" t="s">
        <v>577</v>
      </c>
      <c r="K144" s="34" t="s">
        <v>1550</v>
      </c>
      <c r="L144" s="34">
        <f t="shared" si="2"/>
        <v>1.6666666666666666E-2</v>
      </c>
      <c r="M144" s="39" t="s">
        <v>1532</v>
      </c>
    </row>
    <row r="145" spans="1:13" ht="60">
      <c r="A145" s="41" t="s">
        <v>1579</v>
      </c>
      <c r="B145" s="44" t="s">
        <v>578</v>
      </c>
      <c r="C145" s="37" t="s">
        <v>1586</v>
      </c>
      <c r="D145" s="37" t="s">
        <v>530</v>
      </c>
      <c r="E145" s="37" t="s">
        <v>579</v>
      </c>
      <c r="F145" s="37" t="s">
        <v>84</v>
      </c>
      <c r="G145" s="37" t="s">
        <v>580</v>
      </c>
      <c r="H145" s="37" t="s">
        <v>86</v>
      </c>
      <c r="I145" s="37" t="s">
        <v>581</v>
      </c>
      <c r="J145" s="37" t="s">
        <v>228</v>
      </c>
      <c r="K145" s="34" t="s">
        <v>1548</v>
      </c>
      <c r="L145" s="34">
        <f t="shared" si="2"/>
        <v>1.6666666666666666E-2</v>
      </c>
      <c r="M145" s="39" t="s">
        <v>1532</v>
      </c>
    </row>
    <row r="146" spans="1:13" ht="32">
      <c r="A146" s="41" t="s">
        <v>1579</v>
      </c>
      <c r="B146" s="44" t="s">
        <v>582</v>
      </c>
      <c r="C146" s="37" t="s">
        <v>1586</v>
      </c>
      <c r="D146" s="37" t="s">
        <v>530</v>
      </c>
      <c r="E146" s="37" t="s">
        <v>583</v>
      </c>
      <c r="F146" s="37" t="s">
        <v>191</v>
      </c>
      <c r="G146" s="37" t="s">
        <v>415</v>
      </c>
      <c r="H146" s="37" t="s">
        <v>28</v>
      </c>
      <c r="I146" s="37" t="s">
        <v>584</v>
      </c>
      <c r="J146" s="37" t="s">
        <v>214</v>
      </c>
      <c r="K146" s="34" t="s">
        <v>1550</v>
      </c>
      <c r="L146" s="34">
        <f t="shared" si="2"/>
        <v>1.6666666666666666E-2</v>
      </c>
      <c r="M146" s="39" t="s">
        <v>1532</v>
      </c>
    </row>
    <row r="147" spans="1:13" ht="32">
      <c r="A147" s="41" t="s">
        <v>1579</v>
      </c>
      <c r="B147" s="44" t="s">
        <v>585</v>
      </c>
      <c r="C147" s="37" t="s">
        <v>1586</v>
      </c>
      <c r="D147" s="37" t="s">
        <v>530</v>
      </c>
      <c r="E147" s="37" t="s">
        <v>586</v>
      </c>
      <c r="F147" s="37" t="s">
        <v>191</v>
      </c>
      <c r="G147" s="37" t="s">
        <v>415</v>
      </c>
      <c r="H147" s="37" t="s">
        <v>28</v>
      </c>
      <c r="I147" s="37" t="s">
        <v>584</v>
      </c>
      <c r="J147" s="37" t="s">
        <v>214</v>
      </c>
      <c r="K147" s="34" t="s">
        <v>1550</v>
      </c>
      <c r="L147" s="34">
        <f t="shared" si="2"/>
        <v>1.6666666666666666E-2</v>
      </c>
      <c r="M147" s="39" t="s">
        <v>1532</v>
      </c>
    </row>
    <row r="148" spans="1:13" ht="32">
      <c r="A148" s="41" t="s">
        <v>1579</v>
      </c>
      <c r="B148" s="44" t="s">
        <v>587</v>
      </c>
      <c r="C148" s="37" t="s">
        <v>1586</v>
      </c>
      <c r="D148" s="37" t="s">
        <v>530</v>
      </c>
      <c r="E148" s="37" t="s">
        <v>588</v>
      </c>
      <c r="F148" s="37" t="s">
        <v>191</v>
      </c>
      <c r="G148" s="37" t="s">
        <v>415</v>
      </c>
      <c r="H148" s="37" t="s">
        <v>28</v>
      </c>
      <c r="I148" s="37" t="s">
        <v>589</v>
      </c>
      <c r="J148" s="37" t="s">
        <v>173</v>
      </c>
      <c r="K148" s="34" t="s">
        <v>1550</v>
      </c>
      <c r="L148" s="34">
        <f t="shared" si="2"/>
        <v>1.6666666666666666E-2</v>
      </c>
      <c r="M148" s="39" t="s">
        <v>1532</v>
      </c>
    </row>
    <row r="149" spans="1:13" ht="32">
      <c r="A149" s="41" t="s">
        <v>1579</v>
      </c>
      <c r="B149" s="44" t="s">
        <v>590</v>
      </c>
      <c r="C149" s="37" t="s">
        <v>1586</v>
      </c>
      <c r="D149" s="37" t="s">
        <v>530</v>
      </c>
      <c r="E149" s="37" t="s">
        <v>591</v>
      </c>
      <c r="F149" s="37" t="s">
        <v>359</v>
      </c>
      <c r="G149" s="37" t="s">
        <v>177</v>
      </c>
      <c r="H149" s="37" t="s">
        <v>28</v>
      </c>
      <c r="I149" s="37" t="s">
        <v>374</v>
      </c>
      <c r="J149" s="37" t="s">
        <v>214</v>
      </c>
      <c r="K149" s="34" t="s">
        <v>1550</v>
      </c>
      <c r="L149" s="34">
        <f t="shared" si="2"/>
        <v>1.6666666666666666E-2</v>
      </c>
      <c r="M149" s="39" t="s">
        <v>1532</v>
      </c>
    </row>
    <row r="150" spans="1:13" ht="32">
      <c r="A150" s="41" t="s">
        <v>1579</v>
      </c>
      <c r="B150" s="44" t="s">
        <v>592</v>
      </c>
      <c r="C150" s="37" t="s">
        <v>1586</v>
      </c>
      <c r="D150" s="37" t="s">
        <v>530</v>
      </c>
      <c r="E150" s="37" t="s">
        <v>593</v>
      </c>
      <c r="F150" s="37" t="s">
        <v>359</v>
      </c>
      <c r="G150" s="37" t="s">
        <v>177</v>
      </c>
      <c r="H150" s="37" t="s">
        <v>28</v>
      </c>
      <c r="I150" s="37" t="s">
        <v>594</v>
      </c>
      <c r="J150" s="37" t="s">
        <v>173</v>
      </c>
      <c r="K150" s="34" t="s">
        <v>1550</v>
      </c>
      <c r="L150" s="34">
        <f t="shared" si="2"/>
        <v>1.6666666666666666E-2</v>
      </c>
      <c r="M150" s="39" t="s">
        <v>1532</v>
      </c>
    </row>
    <row r="151" spans="1:13" ht="45" hidden="1">
      <c r="A151" s="41" t="s">
        <v>1579</v>
      </c>
      <c r="B151" s="44" t="s">
        <v>595</v>
      </c>
      <c r="C151" s="37" t="s">
        <v>1585</v>
      </c>
      <c r="D151" s="37" t="s">
        <v>530</v>
      </c>
      <c r="E151" s="37" t="s">
        <v>596</v>
      </c>
      <c r="F151" s="37" t="s">
        <v>597</v>
      </c>
      <c r="G151" s="37" t="s">
        <v>309</v>
      </c>
      <c r="H151" s="37" t="s">
        <v>28</v>
      </c>
      <c r="I151" s="37" t="s">
        <v>598</v>
      </c>
      <c r="J151" s="37" t="s">
        <v>228</v>
      </c>
      <c r="K151" s="34" t="s">
        <v>1550</v>
      </c>
      <c r="L151" s="34">
        <f t="shared" si="2"/>
        <v>1.6666666666666666E-2</v>
      </c>
      <c r="M151" s="39" t="s">
        <v>1532</v>
      </c>
    </row>
    <row r="152" spans="1:13" ht="60">
      <c r="A152" s="41" t="s">
        <v>1579</v>
      </c>
      <c r="B152" s="44" t="s">
        <v>599</v>
      </c>
      <c r="C152" s="37" t="s">
        <v>1586</v>
      </c>
      <c r="D152" s="37" t="s">
        <v>530</v>
      </c>
      <c r="E152" s="37" t="s">
        <v>600</v>
      </c>
      <c r="F152" s="37" t="s">
        <v>84</v>
      </c>
      <c r="G152" s="37" t="s">
        <v>601</v>
      </c>
      <c r="H152" s="37" t="s">
        <v>28</v>
      </c>
      <c r="I152" s="37" t="s">
        <v>602</v>
      </c>
      <c r="J152" s="37" t="s">
        <v>603</v>
      </c>
      <c r="K152" s="34" t="s">
        <v>1548</v>
      </c>
      <c r="L152" s="34">
        <f t="shared" si="2"/>
        <v>1.6666666666666666E-2</v>
      </c>
      <c r="M152" s="39" t="s">
        <v>1532</v>
      </c>
    </row>
    <row r="153" spans="1:13" ht="32" hidden="1">
      <c r="A153" s="41" t="s">
        <v>1579</v>
      </c>
      <c r="B153" s="44" t="s">
        <v>604</v>
      </c>
      <c r="C153" s="37" t="s">
        <v>1585</v>
      </c>
      <c r="D153" s="37" t="s">
        <v>530</v>
      </c>
      <c r="E153" s="37" t="s">
        <v>605</v>
      </c>
      <c r="F153" s="37" t="s">
        <v>597</v>
      </c>
      <c r="G153" s="37" t="s">
        <v>309</v>
      </c>
      <c r="H153" s="37" t="s">
        <v>142</v>
      </c>
      <c r="I153" s="37" t="s">
        <v>606</v>
      </c>
      <c r="J153" s="37" t="s">
        <v>607</v>
      </c>
      <c r="K153" s="34" t="s">
        <v>1550</v>
      </c>
      <c r="L153" s="34">
        <f t="shared" si="2"/>
        <v>1.6666666666666666E-2</v>
      </c>
      <c r="M153" s="39" t="s">
        <v>1532</v>
      </c>
    </row>
    <row r="154" spans="1:13" ht="75">
      <c r="A154" s="41" t="s">
        <v>1579</v>
      </c>
      <c r="B154" s="44" t="s">
        <v>608</v>
      </c>
      <c r="C154" s="37" t="s">
        <v>1586</v>
      </c>
      <c r="D154" s="37" t="s">
        <v>530</v>
      </c>
      <c r="E154" s="37" t="s">
        <v>609</v>
      </c>
      <c r="F154" s="37" t="s">
        <v>152</v>
      </c>
      <c r="G154" s="37" t="s">
        <v>610</v>
      </c>
      <c r="H154" s="37" t="s">
        <v>28</v>
      </c>
      <c r="I154" s="37" t="s">
        <v>611</v>
      </c>
      <c r="J154" s="37" t="s">
        <v>607</v>
      </c>
      <c r="K154" s="34" t="s">
        <v>1550</v>
      </c>
      <c r="L154" s="34">
        <f t="shared" si="2"/>
        <v>1.6666666666666666E-2</v>
      </c>
      <c r="M154" s="39" t="s">
        <v>1532</v>
      </c>
    </row>
    <row r="155" spans="1:13" ht="45" hidden="1">
      <c r="A155" s="41" t="s">
        <v>1579</v>
      </c>
      <c r="B155" s="44" t="s">
        <v>612</v>
      </c>
      <c r="C155" s="37" t="s">
        <v>1585</v>
      </c>
      <c r="D155" s="37" t="s">
        <v>530</v>
      </c>
      <c r="E155" s="37" t="s">
        <v>613</v>
      </c>
      <c r="F155" s="37" t="s">
        <v>597</v>
      </c>
      <c r="G155" s="37" t="s">
        <v>309</v>
      </c>
      <c r="H155" s="37" t="s">
        <v>86</v>
      </c>
      <c r="I155" s="37" t="s">
        <v>614</v>
      </c>
      <c r="J155" s="37" t="s">
        <v>615</v>
      </c>
      <c r="K155" s="34" t="s">
        <v>1550</v>
      </c>
      <c r="L155" s="34">
        <f t="shared" si="2"/>
        <v>1.6666666666666666E-2</v>
      </c>
      <c r="M155" s="39" t="s">
        <v>1532</v>
      </c>
    </row>
    <row r="156" spans="1:13" ht="90">
      <c r="A156" s="41" t="s">
        <v>1579</v>
      </c>
      <c r="B156" s="44" t="s">
        <v>616</v>
      </c>
      <c r="C156" s="37" t="s">
        <v>1586</v>
      </c>
      <c r="D156" s="37" t="s">
        <v>530</v>
      </c>
      <c r="E156" s="37" t="s">
        <v>617</v>
      </c>
      <c r="F156" s="37" t="s">
        <v>84</v>
      </c>
      <c r="G156" s="37" t="s">
        <v>618</v>
      </c>
      <c r="H156" s="37" t="s">
        <v>28</v>
      </c>
      <c r="I156" s="37" t="s">
        <v>619</v>
      </c>
      <c r="J156" s="37" t="s">
        <v>620</v>
      </c>
      <c r="K156" s="34" t="s">
        <v>1550</v>
      </c>
      <c r="L156" s="34">
        <f t="shared" si="2"/>
        <v>1.6666666666666666E-2</v>
      </c>
      <c r="M156" s="39" t="s">
        <v>1532</v>
      </c>
    </row>
    <row r="157" spans="1:13" ht="45">
      <c r="A157" s="41" t="s">
        <v>1579</v>
      </c>
      <c r="B157" s="44" t="s">
        <v>621</v>
      </c>
      <c r="C157" s="37" t="s">
        <v>1586</v>
      </c>
      <c r="D157" s="37" t="s">
        <v>530</v>
      </c>
      <c r="E157" s="37" t="s">
        <v>622</v>
      </c>
      <c r="F157" s="37" t="s">
        <v>287</v>
      </c>
      <c r="G157" s="37" t="s">
        <v>623</v>
      </c>
      <c r="H157" s="37" t="s">
        <v>142</v>
      </c>
      <c r="I157" s="37" t="s">
        <v>619</v>
      </c>
      <c r="J157" s="37" t="s">
        <v>143</v>
      </c>
      <c r="K157" s="34" t="s">
        <v>1550</v>
      </c>
      <c r="L157" s="34">
        <f t="shared" si="2"/>
        <v>1.6666666666666666E-2</v>
      </c>
      <c r="M157" s="39" t="s">
        <v>1532</v>
      </c>
    </row>
    <row r="158" spans="1:13" ht="60">
      <c r="A158" s="41" t="s">
        <v>1579</v>
      </c>
      <c r="B158" s="44" t="s">
        <v>624</v>
      </c>
      <c r="C158" s="37" t="s">
        <v>1586</v>
      </c>
      <c r="D158" s="37" t="s">
        <v>530</v>
      </c>
      <c r="E158" s="37" t="s">
        <v>625</v>
      </c>
      <c r="F158" s="37" t="s">
        <v>84</v>
      </c>
      <c r="G158" s="37" t="s">
        <v>626</v>
      </c>
      <c r="H158" s="37" t="s">
        <v>28</v>
      </c>
      <c r="I158" s="37" t="s">
        <v>627</v>
      </c>
      <c r="J158" s="37" t="s">
        <v>277</v>
      </c>
      <c r="K158" s="34" t="s">
        <v>1550</v>
      </c>
      <c r="L158" s="34">
        <f t="shared" si="2"/>
        <v>1.6666666666666666E-2</v>
      </c>
      <c r="M158" s="39" t="s">
        <v>1532</v>
      </c>
    </row>
    <row r="159" spans="1:13" ht="32">
      <c r="A159" s="41" t="s">
        <v>1579</v>
      </c>
      <c r="B159" s="44" t="s">
        <v>628</v>
      </c>
      <c r="C159" s="37" t="s">
        <v>1586</v>
      </c>
      <c r="D159" s="37" t="s">
        <v>530</v>
      </c>
      <c r="E159" s="37" t="s">
        <v>629</v>
      </c>
      <c r="F159" s="37" t="s">
        <v>84</v>
      </c>
      <c r="G159" s="37" t="s">
        <v>630</v>
      </c>
      <c r="H159" s="37" t="s">
        <v>28</v>
      </c>
      <c r="I159" s="37" t="s">
        <v>631</v>
      </c>
      <c r="J159" s="37" t="s">
        <v>241</v>
      </c>
      <c r="K159" s="34" t="s">
        <v>1550</v>
      </c>
      <c r="L159" s="34">
        <f t="shared" si="2"/>
        <v>1.6666666666666666E-2</v>
      </c>
      <c r="M159" s="39" t="s">
        <v>1532</v>
      </c>
    </row>
    <row r="160" spans="1:13" ht="45">
      <c r="A160" s="41" t="s">
        <v>1579</v>
      </c>
      <c r="B160" s="44" t="s">
        <v>632</v>
      </c>
      <c r="C160" s="37" t="s">
        <v>1586</v>
      </c>
      <c r="D160" s="37" t="s">
        <v>530</v>
      </c>
      <c r="E160" s="37" t="s">
        <v>633</v>
      </c>
      <c r="F160" s="37" t="s">
        <v>84</v>
      </c>
      <c r="G160" s="37" t="s">
        <v>634</v>
      </c>
      <c r="H160" s="37" t="s">
        <v>86</v>
      </c>
      <c r="I160" s="37" t="s">
        <v>635</v>
      </c>
      <c r="J160" s="37" t="s">
        <v>143</v>
      </c>
      <c r="K160" s="34" t="s">
        <v>1548</v>
      </c>
      <c r="L160" s="34">
        <f t="shared" si="2"/>
        <v>1.6666666666666666E-2</v>
      </c>
      <c r="M160" s="39" t="s">
        <v>1532</v>
      </c>
    </row>
    <row r="161" spans="1:13" ht="32">
      <c r="A161" s="41" t="s">
        <v>1579</v>
      </c>
      <c r="B161" s="44" t="s">
        <v>636</v>
      </c>
      <c r="C161" s="37" t="s">
        <v>1586</v>
      </c>
      <c r="D161" s="37" t="s">
        <v>530</v>
      </c>
      <c r="E161" s="37" t="s">
        <v>637</v>
      </c>
      <c r="F161" s="37" t="s">
        <v>96</v>
      </c>
      <c r="G161" s="37" t="s">
        <v>638</v>
      </c>
      <c r="H161" s="37" t="s">
        <v>28</v>
      </c>
      <c r="I161" s="37" t="s">
        <v>639</v>
      </c>
      <c r="J161" s="37" t="s">
        <v>143</v>
      </c>
      <c r="K161" s="34" t="s">
        <v>1550</v>
      </c>
      <c r="L161" s="34">
        <f t="shared" si="2"/>
        <v>1.6666666666666666E-2</v>
      </c>
      <c r="M161" s="39" t="s">
        <v>1532</v>
      </c>
    </row>
    <row r="162" spans="1:13" ht="32">
      <c r="A162" s="41" t="s">
        <v>1579</v>
      </c>
      <c r="B162" s="44" t="s">
        <v>640</v>
      </c>
      <c r="C162" s="37" t="s">
        <v>1586</v>
      </c>
      <c r="D162" s="37" t="s">
        <v>641</v>
      </c>
      <c r="E162" s="37" t="s">
        <v>642</v>
      </c>
      <c r="F162" s="37" t="s">
        <v>191</v>
      </c>
      <c r="G162" s="37" t="s">
        <v>434</v>
      </c>
      <c r="H162" s="37" t="s">
        <v>28</v>
      </c>
      <c r="I162" s="37" t="s">
        <v>643</v>
      </c>
      <c r="J162" s="37" t="s">
        <v>121</v>
      </c>
      <c r="K162" s="34" t="s">
        <v>1548</v>
      </c>
      <c r="L162" s="34">
        <f t="shared" si="2"/>
        <v>1.6666666666666666E-2</v>
      </c>
      <c r="M162" s="39" t="s">
        <v>1532</v>
      </c>
    </row>
    <row r="163" spans="1:13" ht="32">
      <c r="A163" s="41" t="s">
        <v>1579</v>
      </c>
      <c r="B163" s="44" t="s">
        <v>644</v>
      </c>
      <c r="C163" s="37" t="s">
        <v>1586</v>
      </c>
      <c r="D163" s="37" t="s">
        <v>641</v>
      </c>
      <c r="E163" s="37" t="s">
        <v>645</v>
      </c>
      <c r="F163" s="37" t="s">
        <v>191</v>
      </c>
      <c r="G163" s="37" t="s">
        <v>434</v>
      </c>
      <c r="H163" s="37" t="s">
        <v>28</v>
      </c>
      <c r="I163" s="37" t="s">
        <v>643</v>
      </c>
      <c r="J163" s="37" t="s">
        <v>603</v>
      </c>
      <c r="K163" s="34" t="s">
        <v>1548</v>
      </c>
      <c r="L163" s="34">
        <f t="shared" si="2"/>
        <v>1.6666666666666666E-2</v>
      </c>
      <c r="M163" s="39" t="s">
        <v>1532</v>
      </c>
    </row>
    <row r="164" spans="1:13" ht="32">
      <c r="A164" s="41" t="s">
        <v>1579</v>
      </c>
      <c r="B164" s="44" t="s">
        <v>646</v>
      </c>
      <c r="C164" s="37" t="s">
        <v>1586</v>
      </c>
      <c r="D164" s="37" t="s">
        <v>641</v>
      </c>
      <c r="E164" s="37" t="s">
        <v>647</v>
      </c>
      <c r="F164" s="37" t="s">
        <v>176</v>
      </c>
      <c r="G164" s="37" t="s">
        <v>197</v>
      </c>
      <c r="H164" s="37" t="s">
        <v>28</v>
      </c>
      <c r="I164" s="37" t="s">
        <v>643</v>
      </c>
      <c r="J164" s="37" t="s">
        <v>303</v>
      </c>
      <c r="K164" s="34" t="s">
        <v>1550</v>
      </c>
      <c r="L164" s="34">
        <f t="shared" si="2"/>
        <v>1.6666666666666666E-2</v>
      </c>
      <c r="M164" s="39" t="s">
        <v>1532</v>
      </c>
    </row>
    <row r="165" spans="1:13" ht="60">
      <c r="A165" s="41" t="s">
        <v>1579</v>
      </c>
      <c r="B165" s="44" t="s">
        <v>648</v>
      </c>
      <c r="C165" s="37" t="s">
        <v>1586</v>
      </c>
      <c r="D165" s="37" t="s">
        <v>641</v>
      </c>
      <c r="E165" s="37" t="s">
        <v>649</v>
      </c>
      <c r="F165" s="37" t="s">
        <v>84</v>
      </c>
      <c r="G165" s="37" t="s">
        <v>1551</v>
      </c>
      <c r="H165" s="37" t="s">
        <v>28</v>
      </c>
      <c r="I165" s="37" t="s">
        <v>650</v>
      </c>
      <c r="J165" s="37" t="s">
        <v>651</v>
      </c>
      <c r="K165" s="34" t="s">
        <v>1550</v>
      </c>
      <c r="L165" s="34">
        <f t="shared" si="2"/>
        <v>1.6666666666666666E-2</v>
      </c>
      <c r="M165" s="39" t="s">
        <v>1532</v>
      </c>
    </row>
    <row r="166" spans="1:13" ht="60">
      <c r="A166" s="41" t="s">
        <v>1579</v>
      </c>
      <c r="B166" s="44" t="s">
        <v>652</v>
      </c>
      <c r="C166" s="37" t="s">
        <v>1586</v>
      </c>
      <c r="D166" s="37" t="s">
        <v>641</v>
      </c>
      <c r="E166" s="37" t="s">
        <v>653</v>
      </c>
      <c r="F166" s="37" t="s">
        <v>84</v>
      </c>
      <c r="G166" s="37" t="s">
        <v>654</v>
      </c>
      <c r="H166" s="37" t="s">
        <v>28</v>
      </c>
      <c r="I166" s="37" t="s">
        <v>650</v>
      </c>
      <c r="J166" s="37" t="s">
        <v>655</v>
      </c>
      <c r="K166" s="34" t="s">
        <v>1550</v>
      </c>
      <c r="L166" s="34">
        <f t="shared" si="2"/>
        <v>1.6666666666666666E-2</v>
      </c>
      <c r="M166" s="39" t="s">
        <v>1532</v>
      </c>
    </row>
    <row r="167" spans="1:13" ht="45">
      <c r="A167" s="41" t="s">
        <v>1579</v>
      </c>
      <c r="B167" s="44" t="s">
        <v>656</v>
      </c>
      <c r="C167" s="37" t="s">
        <v>1586</v>
      </c>
      <c r="D167" s="37" t="s">
        <v>641</v>
      </c>
      <c r="E167" s="37" t="s">
        <v>657</v>
      </c>
      <c r="F167" s="37" t="s">
        <v>84</v>
      </c>
      <c r="G167" s="37" t="s">
        <v>658</v>
      </c>
      <c r="H167" s="37" t="s">
        <v>28</v>
      </c>
      <c r="I167" s="37" t="s">
        <v>650</v>
      </c>
      <c r="J167" s="37" t="s">
        <v>655</v>
      </c>
      <c r="K167" s="34" t="s">
        <v>1550</v>
      </c>
      <c r="L167" s="34">
        <f t="shared" si="2"/>
        <v>1.6666666666666666E-2</v>
      </c>
      <c r="M167" s="39" t="s">
        <v>1532</v>
      </c>
    </row>
    <row r="168" spans="1:13" ht="45">
      <c r="A168" s="41" t="s">
        <v>1579</v>
      </c>
      <c r="B168" s="44" t="s">
        <v>659</v>
      </c>
      <c r="C168" s="37" t="s">
        <v>1586</v>
      </c>
      <c r="D168" s="37" t="s">
        <v>641</v>
      </c>
      <c r="E168" s="37" t="s">
        <v>660</v>
      </c>
      <c r="F168" s="37" t="s">
        <v>84</v>
      </c>
      <c r="G168" s="37" t="s">
        <v>661</v>
      </c>
      <c r="H168" s="37" t="s">
        <v>28</v>
      </c>
      <c r="I168" s="37" t="s">
        <v>662</v>
      </c>
      <c r="J168" s="37" t="s">
        <v>663</v>
      </c>
      <c r="K168" s="34" t="s">
        <v>1550</v>
      </c>
      <c r="L168" s="34">
        <f t="shared" si="2"/>
        <v>1.6666666666666666E-2</v>
      </c>
      <c r="M168" s="39" t="s">
        <v>1532</v>
      </c>
    </row>
    <row r="169" spans="1:13" ht="75">
      <c r="A169" s="41" t="s">
        <v>1579</v>
      </c>
      <c r="B169" s="44" t="s">
        <v>664</v>
      </c>
      <c r="C169" s="37" t="s">
        <v>1586</v>
      </c>
      <c r="D169" s="37" t="s">
        <v>641</v>
      </c>
      <c r="E169" s="37" t="s">
        <v>665</v>
      </c>
      <c r="F169" s="37" t="s">
        <v>84</v>
      </c>
      <c r="G169" s="37" t="s">
        <v>666</v>
      </c>
      <c r="H169" s="37" t="s">
        <v>28</v>
      </c>
      <c r="I169" s="37" t="s">
        <v>650</v>
      </c>
      <c r="J169" s="37" t="s">
        <v>121</v>
      </c>
      <c r="K169" s="34" t="s">
        <v>1550</v>
      </c>
      <c r="L169" s="34">
        <f t="shared" si="2"/>
        <v>1.6666666666666666E-2</v>
      </c>
      <c r="M169" s="39" t="s">
        <v>1532</v>
      </c>
    </row>
    <row r="170" spans="1:13" ht="45">
      <c r="A170" s="41" t="s">
        <v>1579</v>
      </c>
      <c r="B170" s="44" t="s">
        <v>667</v>
      </c>
      <c r="C170" s="37" t="s">
        <v>1586</v>
      </c>
      <c r="D170" s="37" t="s">
        <v>641</v>
      </c>
      <c r="E170" s="37" t="s">
        <v>668</v>
      </c>
      <c r="F170" s="37" t="s">
        <v>84</v>
      </c>
      <c r="G170" s="37" t="s">
        <v>669</v>
      </c>
      <c r="H170" s="37" t="s">
        <v>28</v>
      </c>
      <c r="I170" s="37" t="s">
        <v>670</v>
      </c>
      <c r="J170" s="37" t="s">
        <v>241</v>
      </c>
      <c r="K170" s="34" t="s">
        <v>1548</v>
      </c>
      <c r="L170" s="34">
        <f t="shared" si="2"/>
        <v>1.6666666666666666E-2</v>
      </c>
      <c r="M170" s="39" t="s">
        <v>1532</v>
      </c>
    </row>
    <row r="171" spans="1:13" ht="32">
      <c r="A171" s="41" t="s">
        <v>1579</v>
      </c>
      <c r="B171" s="44" t="s">
        <v>671</v>
      </c>
      <c r="C171" s="37" t="s">
        <v>1586</v>
      </c>
      <c r="D171" s="37" t="s">
        <v>641</v>
      </c>
      <c r="E171" s="37" t="s">
        <v>672</v>
      </c>
      <c r="F171" s="37" t="s">
        <v>287</v>
      </c>
      <c r="G171" s="37" t="s">
        <v>673</v>
      </c>
      <c r="H171" s="37" t="s">
        <v>142</v>
      </c>
      <c r="I171" s="37" t="s">
        <v>650</v>
      </c>
      <c r="J171" s="37" t="s">
        <v>143</v>
      </c>
      <c r="K171" s="34" t="s">
        <v>1548</v>
      </c>
      <c r="L171" s="34">
        <f t="shared" si="2"/>
        <v>1.6666666666666666E-2</v>
      </c>
      <c r="M171" s="39" t="s">
        <v>1532</v>
      </c>
    </row>
    <row r="172" spans="1:13" ht="32">
      <c r="A172" s="41" t="s">
        <v>1579</v>
      </c>
      <c r="B172" s="44" t="s">
        <v>674</v>
      </c>
      <c r="C172" s="37" t="s">
        <v>1586</v>
      </c>
      <c r="D172" s="37" t="s">
        <v>641</v>
      </c>
      <c r="E172" s="37" t="s">
        <v>675</v>
      </c>
      <c r="F172" s="37" t="s">
        <v>191</v>
      </c>
      <c r="G172" s="37" t="s">
        <v>676</v>
      </c>
      <c r="H172" s="37" t="s">
        <v>142</v>
      </c>
      <c r="I172" s="37" t="s">
        <v>677</v>
      </c>
      <c r="J172" s="37" t="s">
        <v>143</v>
      </c>
      <c r="K172" s="34" t="s">
        <v>1548</v>
      </c>
      <c r="L172" s="34">
        <f t="shared" si="2"/>
        <v>1.6666666666666666E-2</v>
      </c>
      <c r="M172" s="39" t="s">
        <v>1532</v>
      </c>
    </row>
    <row r="173" spans="1:13" ht="45">
      <c r="A173" s="41" t="s">
        <v>1579</v>
      </c>
      <c r="B173" s="44" t="s">
        <v>678</v>
      </c>
      <c r="C173" s="37" t="s">
        <v>1586</v>
      </c>
      <c r="D173" s="37" t="s">
        <v>641</v>
      </c>
      <c r="E173" s="37" t="s">
        <v>679</v>
      </c>
      <c r="F173" s="37" t="s">
        <v>191</v>
      </c>
      <c r="G173" s="37" t="s">
        <v>680</v>
      </c>
      <c r="H173" s="37" t="s">
        <v>182</v>
      </c>
      <c r="I173" s="37" t="s">
        <v>681</v>
      </c>
      <c r="J173" s="37" t="s">
        <v>143</v>
      </c>
      <c r="K173" s="34" t="s">
        <v>1548</v>
      </c>
      <c r="L173" s="34">
        <f t="shared" si="2"/>
        <v>1.6666666666666666E-2</v>
      </c>
      <c r="M173" s="39" t="s">
        <v>1532</v>
      </c>
    </row>
    <row r="174" spans="1:13" ht="60">
      <c r="A174" s="41" t="s">
        <v>1579</v>
      </c>
      <c r="B174" s="44" t="s">
        <v>682</v>
      </c>
      <c r="C174" s="37" t="s">
        <v>1586</v>
      </c>
      <c r="D174" s="37" t="s">
        <v>641</v>
      </c>
      <c r="E174" s="37" t="s">
        <v>683</v>
      </c>
      <c r="F174" s="37" t="s">
        <v>84</v>
      </c>
      <c r="G174" s="37" t="s">
        <v>684</v>
      </c>
      <c r="H174" s="37" t="s">
        <v>28</v>
      </c>
      <c r="I174" s="37" t="s">
        <v>685</v>
      </c>
      <c r="J174" s="37" t="s">
        <v>455</v>
      </c>
      <c r="K174" s="34" t="s">
        <v>1550</v>
      </c>
      <c r="L174" s="34">
        <f t="shared" si="2"/>
        <v>1.6666666666666666E-2</v>
      </c>
      <c r="M174" s="39" t="s">
        <v>1532</v>
      </c>
    </row>
    <row r="175" spans="1:13" ht="32">
      <c r="A175" s="41" t="s">
        <v>1579</v>
      </c>
      <c r="B175" s="44" t="s">
        <v>686</v>
      </c>
      <c r="C175" s="37" t="s">
        <v>1586</v>
      </c>
      <c r="D175" s="37" t="s">
        <v>641</v>
      </c>
      <c r="E175" s="37" t="s">
        <v>687</v>
      </c>
      <c r="F175" s="37" t="s">
        <v>688</v>
      </c>
      <c r="G175" s="37" t="s">
        <v>689</v>
      </c>
      <c r="H175" s="37" t="s">
        <v>28</v>
      </c>
      <c r="I175" s="37" t="s">
        <v>685</v>
      </c>
      <c r="J175" s="37" t="s">
        <v>143</v>
      </c>
      <c r="K175" s="34" t="s">
        <v>1548</v>
      </c>
      <c r="L175" s="34">
        <f t="shared" si="2"/>
        <v>1.6666666666666666E-2</v>
      </c>
      <c r="M175" s="39" t="s">
        <v>1532</v>
      </c>
    </row>
    <row r="176" spans="1:13" ht="32">
      <c r="A176" s="41" t="s">
        <v>1579</v>
      </c>
      <c r="B176" s="44" t="s">
        <v>690</v>
      </c>
      <c r="C176" s="37" t="s">
        <v>1586</v>
      </c>
      <c r="D176" s="37" t="s">
        <v>641</v>
      </c>
      <c r="E176" s="37" t="s">
        <v>691</v>
      </c>
      <c r="F176" s="37" t="s">
        <v>84</v>
      </c>
      <c r="G176" s="37" t="s">
        <v>669</v>
      </c>
      <c r="H176" s="37" t="s">
        <v>86</v>
      </c>
      <c r="I176" s="37" t="s">
        <v>692</v>
      </c>
      <c r="J176" s="37" t="s">
        <v>693</v>
      </c>
      <c r="K176" s="34" t="s">
        <v>1548</v>
      </c>
      <c r="L176" s="34">
        <f t="shared" si="2"/>
        <v>1.6666666666666666E-2</v>
      </c>
      <c r="M176" s="39" t="s">
        <v>1532</v>
      </c>
    </row>
    <row r="177" spans="1:13" ht="32">
      <c r="A177" s="41" t="s">
        <v>1579</v>
      </c>
      <c r="B177" s="44" t="s">
        <v>694</v>
      </c>
      <c r="C177" s="37" t="s">
        <v>1586</v>
      </c>
      <c r="D177" s="37" t="s">
        <v>641</v>
      </c>
      <c r="E177" s="37" t="s">
        <v>695</v>
      </c>
      <c r="F177" s="37" t="s">
        <v>84</v>
      </c>
      <c r="G177" s="37" t="s">
        <v>696</v>
      </c>
      <c r="H177" s="37" t="s">
        <v>28</v>
      </c>
      <c r="I177" s="37" t="s">
        <v>697</v>
      </c>
      <c r="J177" s="37" t="s">
        <v>173</v>
      </c>
      <c r="K177" s="34" t="s">
        <v>1548</v>
      </c>
      <c r="L177" s="34">
        <f t="shared" si="2"/>
        <v>1.6666666666666666E-2</v>
      </c>
      <c r="M177" s="39" t="s">
        <v>1532</v>
      </c>
    </row>
    <row r="178" spans="1:13" ht="45">
      <c r="A178" s="41" t="s">
        <v>1579</v>
      </c>
      <c r="B178" s="44" t="s">
        <v>698</v>
      </c>
      <c r="C178" s="37" t="s">
        <v>1586</v>
      </c>
      <c r="D178" s="37" t="s">
        <v>641</v>
      </c>
      <c r="E178" s="37" t="s">
        <v>699</v>
      </c>
      <c r="F178" s="37" t="s">
        <v>84</v>
      </c>
      <c r="G178" s="37" t="s">
        <v>700</v>
      </c>
      <c r="H178" s="37" t="s">
        <v>28</v>
      </c>
      <c r="I178" s="37" t="s">
        <v>697</v>
      </c>
      <c r="J178" s="37" t="s">
        <v>143</v>
      </c>
      <c r="K178" s="34" t="s">
        <v>1548</v>
      </c>
      <c r="L178" s="34">
        <f t="shared" si="2"/>
        <v>1.6666666666666666E-2</v>
      </c>
      <c r="M178" s="39" t="s">
        <v>1532</v>
      </c>
    </row>
    <row r="179" spans="1:13" ht="45">
      <c r="A179" s="41" t="s">
        <v>1579</v>
      </c>
      <c r="B179" s="44" t="s">
        <v>701</v>
      </c>
      <c r="C179" s="37" t="s">
        <v>1586</v>
      </c>
      <c r="D179" s="37" t="s">
        <v>641</v>
      </c>
      <c r="E179" s="37" t="s">
        <v>702</v>
      </c>
      <c r="F179" s="37" t="s">
        <v>84</v>
      </c>
      <c r="G179" s="37" t="s">
        <v>669</v>
      </c>
      <c r="H179" s="37" t="s">
        <v>28</v>
      </c>
      <c r="I179" s="37" t="s">
        <v>703</v>
      </c>
      <c r="J179" s="37" t="s">
        <v>143</v>
      </c>
      <c r="K179" s="34" t="s">
        <v>1548</v>
      </c>
      <c r="L179" s="34">
        <f t="shared" si="2"/>
        <v>1.6666666666666666E-2</v>
      </c>
      <c r="M179" s="39" t="s">
        <v>1532</v>
      </c>
    </row>
    <row r="180" spans="1:13" ht="32">
      <c r="A180" s="41" t="s">
        <v>1579</v>
      </c>
      <c r="B180" s="44" t="s">
        <v>704</v>
      </c>
      <c r="C180" s="37" t="s">
        <v>1586</v>
      </c>
      <c r="D180" s="37" t="s">
        <v>641</v>
      </c>
      <c r="E180" s="37" t="s">
        <v>705</v>
      </c>
      <c r="F180" s="37" t="s">
        <v>84</v>
      </c>
      <c r="G180" s="37" t="s">
        <v>706</v>
      </c>
      <c r="H180" s="37" t="s">
        <v>28</v>
      </c>
      <c r="I180" s="37" t="s">
        <v>707</v>
      </c>
      <c r="J180" s="37" t="s">
        <v>241</v>
      </c>
      <c r="K180" s="34" t="s">
        <v>1548</v>
      </c>
      <c r="L180" s="34">
        <f t="shared" si="2"/>
        <v>1.6666666666666666E-2</v>
      </c>
      <c r="M180" s="39" t="s">
        <v>1532</v>
      </c>
    </row>
    <row r="181" spans="1:13" ht="32">
      <c r="A181" s="41" t="s">
        <v>1579</v>
      </c>
      <c r="B181" s="44" t="s">
        <v>708</v>
      </c>
      <c r="C181" s="37" t="s">
        <v>1586</v>
      </c>
      <c r="D181" s="37" t="s">
        <v>641</v>
      </c>
      <c r="E181" s="37" t="s">
        <v>709</v>
      </c>
      <c r="F181" s="37" t="s">
        <v>191</v>
      </c>
      <c r="G181" s="37" t="s">
        <v>415</v>
      </c>
      <c r="H181" s="37" t="s">
        <v>28</v>
      </c>
      <c r="I181" s="37" t="s">
        <v>710</v>
      </c>
      <c r="J181" s="37" t="s">
        <v>241</v>
      </c>
      <c r="K181" s="34" t="s">
        <v>1548</v>
      </c>
      <c r="L181" s="34">
        <f t="shared" si="2"/>
        <v>1.6666666666666666E-2</v>
      </c>
      <c r="M181" s="39" t="s">
        <v>1532</v>
      </c>
    </row>
    <row r="182" spans="1:13" ht="32">
      <c r="A182" s="41" t="s">
        <v>1579</v>
      </c>
      <c r="B182" s="44" t="s">
        <v>711</v>
      </c>
      <c r="C182" s="37" t="s">
        <v>1586</v>
      </c>
      <c r="D182" s="37" t="s">
        <v>641</v>
      </c>
      <c r="E182" s="37" t="s">
        <v>712</v>
      </c>
      <c r="F182" s="37" t="s">
        <v>191</v>
      </c>
      <c r="G182" s="37" t="s">
        <v>415</v>
      </c>
      <c r="H182" s="37" t="s">
        <v>28</v>
      </c>
      <c r="I182" s="37" t="s">
        <v>710</v>
      </c>
      <c r="J182" s="37" t="s">
        <v>241</v>
      </c>
      <c r="K182" s="34" t="s">
        <v>1548</v>
      </c>
      <c r="L182" s="34">
        <f t="shared" si="2"/>
        <v>1.6666666666666666E-2</v>
      </c>
      <c r="M182" s="39" t="s">
        <v>1532</v>
      </c>
    </row>
    <row r="183" spans="1:13" ht="32">
      <c r="A183" s="41" t="s">
        <v>1579</v>
      </c>
      <c r="B183" s="44" t="s">
        <v>713</v>
      </c>
      <c r="C183" s="37" t="s">
        <v>1586</v>
      </c>
      <c r="D183" s="37" t="s">
        <v>641</v>
      </c>
      <c r="E183" s="37" t="s">
        <v>714</v>
      </c>
      <c r="F183" s="37" t="s">
        <v>287</v>
      </c>
      <c r="G183" s="37" t="s">
        <v>715</v>
      </c>
      <c r="H183" s="37" t="s">
        <v>142</v>
      </c>
      <c r="I183" s="37" t="s">
        <v>710</v>
      </c>
      <c r="J183" s="37" t="s">
        <v>143</v>
      </c>
      <c r="K183" s="34" t="s">
        <v>1548</v>
      </c>
      <c r="L183" s="34">
        <f t="shared" si="2"/>
        <v>1.6666666666666666E-2</v>
      </c>
      <c r="M183" s="39" t="s">
        <v>1532</v>
      </c>
    </row>
    <row r="184" spans="1:13" ht="60">
      <c r="A184" s="41" t="s">
        <v>1579</v>
      </c>
      <c r="B184" s="44" t="s">
        <v>716</v>
      </c>
      <c r="C184" s="37" t="s">
        <v>1586</v>
      </c>
      <c r="D184" s="37" t="s">
        <v>641</v>
      </c>
      <c r="E184" s="37" t="s">
        <v>717</v>
      </c>
      <c r="F184" s="37" t="s">
        <v>84</v>
      </c>
      <c r="G184" s="37" t="s">
        <v>718</v>
      </c>
      <c r="H184" s="37" t="s">
        <v>28</v>
      </c>
      <c r="I184" s="37" t="s">
        <v>719</v>
      </c>
      <c r="J184" s="37" t="s">
        <v>241</v>
      </c>
      <c r="K184" s="34" t="s">
        <v>1548</v>
      </c>
      <c r="L184" s="34">
        <f t="shared" si="2"/>
        <v>1.6666666666666666E-2</v>
      </c>
      <c r="M184" s="39" t="s">
        <v>1532</v>
      </c>
    </row>
    <row r="185" spans="1:13" ht="45">
      <c r="A185" s="41" t="s">
        <v>1579</v>
      </c>
      <c r="B185" s="44" t="s">
        <v>720</v>
      </c>
      <c r="C185" s="37" t="s">
        <v>1586</v>
      </c>
      <c r="D185" s="37" t="s">
        <v>641</v>
      </c>
      <c r="E185" s="37" t="s">
        <v>721</v>
      </c>
      <c r="F185" s="37" t="s">
        <v>84</v>
      </c>
      <c r="G185" s="37" t="s">
        <v>722</v>
      </c>
      <c r="H185" s="37" t="s">
        <v>28</v>
      </c>
      <c r="I185" s="37" t="s">
        <v>710</v>
      </c>
      <c r="J185" s="37" t="s">
        <v>723</v>
      </c>
      <c r="K185" s="34" t="s">
        <v>1550</v>
      </c>
      <c r="L185" s="34">
        <f t="shared" si="2"/>
        <v>1.6666666666666666E-2</v>
      </c>
      <c r="M185" s="39" t="s">
        <v>1532</v>
      </c>
    </row>
    <row r="186" spans="1:13" ht="45">
      <c r="A186" s="41" t="s">
        <v>1579</v>
      </c>
      <c r="B186" s="44" t="s">
        <v>724</v>
      </c>
      <c r="C186" s="37" t="s">
        <v>1586</v>
      </c>
      <c r="D186" s="37" t="s">
        <v>641</v>
      </c>
      <c r="E186" s="37" t="s">
        <v>725</v>
      </c>
      <c r="F186" s="37" t="s">
        <v>287</v>
      </c>
      <c r="G186" s="37" t="s">
        <v>726</v>
      </c>
      <c r="H186" s="37" t="s">
        <v>28</v>
      </c>
      <c r="I186" s="37" t="s">
        <v>727</v>
      </c>
      <c r="J186" s="37" t="s">
        <v>241</v>
      </c>
      <c r="K186" s="34" t="s">
        <v>1548</v>
      </c>
      <c r="L186" s="34">
        <f t="shared" si="2"/>
        <v>1.6666666666666666E-2</v>
      </c>
      <c r="M186" s="39" t="s">
        <v>1532</v>
      </c>
    </row>
    <row r="187" spans="1:13" ht="32">
      <c r="A187" s="41" t="s">
        <v>1579</v>
      </c>
      <c r="B187" s="44" t="s">
        <v>728</v>
      </c>
      <c r="C187" s="37" t="s">
        <v>1586</v>
      </c>
      <c r="D187" s="37" t="s">
        <v>641</v>
      </c>
      <c r="E187" s="37" t="s">
        <v>729</v>
      </c>
      <c r="F187" s="37" t="s">
        <v>84</v>
      </c>
      <c r="G187" s="37" t="s">
        <v>669</v>
      </c>
      <c r="H187" s="37" t="s">
        <v>28</v>
      </c>
      <c r="I187" s="37" t="s">
        <v>730</v>
      </c>
      <c r="J187" s="37" t="s">
        <v>121</v>
      </c>
      <c r="K187" s="34" t="s">
        <v>1548</v>
      </c>
      <c r="L187" s="34">
        <f t="shared" si="2"/>
        <v>1.6666666666666666E-2</v>
      </c>
      <c r="M187" s="39" t="s">
        <v>1532</v>
      </c>
    </row>
    <row r="188" spans="1:13" ht="32">
      <c r="A188" s="41" t="s">
        <v>1579</v>
      </c>
      <c r="B188" s="44" t="s">
        <v>731</v>
      </c>
      <c r="C188" s="37" t="s">
        <v>1586</v>
      </c>
      <c r="D188" s="37" t="s">
        <v>732</v>
      </c>
      <c r="E188" s="37" t="s">
        <v>733</v>
      </c>
      <c r="F188" s="37" t="s">
        <v>734</v>
      </c>
      <c r="G188" s="37" t="s">
        <v>735</v>
      </c>
      <c r="H188" s="37" t="s">
        <v>28</v>
      </c>
      <c r="I188" s="37" t="s">
        <v>736</v>
      </c>
      <c r="J188" s="37" t="s">
        <v>143</v>
      </c>
      <c r="K188" s="34" t="s">
        <v>1548</v>
      </c>
      <c r="L188" s="34">
        <f t="shared" si="2"/>
        <v>1.6666666666666666E-2</v>
      </c>
      <c r="M188" s="39" t="s">
        <v>1541</v>
      </c>
    </row>
    <row r="189" spans="1:13" ht="90">
      <c r="A189" s="41" t="s">
        <v>1579</v>
      </c>
      <c r="B189" s="44" t="s">
        <v>737</v>
      </c>
      <c r="C189" s="37" t="s">
        <v>1586</v>
      </c>
      <c r="D189" s="37" t="s">
        <v>732</v>
      </c>
      <c r="E189" s="37" t="s">
        <v>738</v>
      </c>
      <c r="F189" s="37" t="s">
        <v>92</v>
      </c>
      <c r="G189" s="37" t="s">
        <v>739</v>
      </c>
      <c r="H189" s="37" t="s">
        <v>28</v>
      </c>
      <c r="I189" s="37" t="s">
        <v>736</v>
      </c>
      <c r="J189" s="37" t="s">
        <v>89</v>
      </c>
      <c r="K189" s="34" t="s">
        <v>1548</v>
      </c>
      <c r="L189" s="34">
        <f t="shared" si="2"/>
        <v>1.6666666666666666E-2</v>
      </c>
      <c r="M189" s="39" t="s">
        <v>1544</v>
      </c>
    </row>
    <row r="190" spans="1:13" ht="90">
      <c r="A190" s="41" t="s">
        <v>1579</v>
      </c>
      <c r="B190" s="44" t="s">
        <v>740</v>
      </c>
      <c r="C190" s="37" t="s">
        <v>1586</v>
      </c>
      <c r="D190" s="37" t="s">
        <v>732</v>
      </c>
      <c r="E190" s="37" t="s">
        <v>741</v>
      </c>
      <c r="F190" s="37" t="s">
        <v>201</v>
      </c>
      <c r="G190" s="37" t="s">
        <v>742</v>
      </c>
      <c r="H190" s="37" t="s">
        <v>28</v>
      </c>
      <c r="I190" s="37" t="s">
        <v>736</v>
      </c>
      <c r="J190" s="37" t="s">
        <v>89</v>
      </c>
      <c r="K190" s="34" t="s">
        <v>1550</v>
      </c>
      <c r="L190" s="34">
        <f t="shared" si="2"/>
        <v>1.6666666666666666E-2</v>
      </c>
      <c r="M190" s="39" t="s">
        <v>1544</v>
      </c>
    </row>
    <row r="191" spans="1:13" ht="75">
      <c r="A191" s="41" t="s">
        <v>1579</v>
      </c>
      <c r="B191" s="44" t="s">
        <v>743</v>
      </c>
      <c r="C191" s="37" t="s">
        <v>1586</v>
      </c>
      <c r="D191" s="37" t="s">
        <v>732</v>
      </c>
      <c r="E191" s="37" t="s">
        <v>744</v>
      </c>
      <c r="F191" s="37" t="s">
        <v>84</v>
      </c>
      <c r="G191" s="37" t="s">
        <v>745</v>
      </c>
      <c r="H191" s="37" t="s">
        <v>28</v>
      </c>
      <c r="I191" s="37" t="s">
        <v>736</v>
      </c>
      <c r="J191" s="37" t="s">
        <v>143</v>
      </c>
      <c r="K191" s="34" t="s">
        <v>1548</v>
      </c>
      <c r="L191" s="34">
        <f t="shared" si="2"/>
        <v>1.6666666666666666E-2</v>
      </c>
      <c r="M191" s="39" t="s">
        <v>1544</v>
      </c>
    </row>
    <row r="192" spans="1:13" ht="135">
      <c r="A192" s="41" t="s">
        <v>1579</v>
      </c>
      <c r="B192" s="44" t="s">
        <v>746</v>
      </c>
      <c r="C192" s="37" t="s">
        <v>1586</v>
      </c>
      <c r="D192" s="37" t="s">
        <v>732</v>
      </c>
      <c r="E192" s="37" t="s">
        <v>747</v>
      </c>
      <c r="F192" s="37" t="s">
        <v>84</v>
      </c>
      <c r="G192" s="37" t="s">
        <v>748</v>
      </c>
      <c r="H192" s="37" t="s">
        <v>28</v>
      </c>
      <c r="I192" s="37" t="s">
        <v>736</v>
      </c>
      <c r="J192" s="37" t="s">
        <v>143</v>
      </c>
      <c r="K192" s="34" t="s">
        <v>1548</v>
      </c>
      <c r="L192" s="34">
        <f t="shared" si="2"/>
        <v>1.6666666666666666E-2</v>
      </c>
      <c r="M192" s="39" t="s">
        <v>1544</v>
      </c>
    </row>
    <row r="193" spans="1:13" ht="60">
      <c r="A193" s="41" t="s">
        <v>1579</v>
      </c>
      <c r="B193" s="44" t="s">
        <v>749</v>
      </c>
      <c r="C193" s="37" t="s">
        <v>1586</v>
      </c>
      <c r="D193" s="37" t="s">
        <v>732</v>
      </c>
      <c r="E193" s="37" t="s">
        <v>750</v>
      </c>
      <c r="F193" s="37" t="s">
        <v>84</v>
      </c>
      <c r="G193" s="37" t="s">
        <v>751</v>
      </c>
      <c r="H193" s="37" t="s">
        <v>142</v>
      </c>
      <c r="I193" s="37" t="s">
        <v>736</v>
      </c>
      <c r="J193" s="37" t="s">
        <v>143</v>
      </c>
      <c r="K193" s="34" t="s">
        <v>1548</v>
      </c>
      <c r="L193" s="34">
        <f t="shared" si="2"/>
        <v>1.6666666666666666E-2</v>
      </c>
      <c r="M193" s="39" t="s">
        <v>1544</v>
      </c>
    </row>
    <row r="194" spans="1:13" ht="120">
      <c r="A194" s="41" t="s">
        <v>1579</v>
      </c>
      <c r="B194" s="44" t="s">
        <v>752</v>
      </c>
      <c r="C194" s="37" t="s">
        <v>1586</v>
      </c>
      <c r="D194" s="37" t="s">
        <v>732</v>
      </c>
      <c r="E194" s="37" t="s">
        <v>753</v>
      </c>
      <c r="F194" s="37" t="s">
        <v>92</v>
      </c>
      <c r="G194" s="37" t="s">
        <v>754</v>
      </c>
      <c r="H194" s="37" t="s">
        <v>28</v>
      </c>
      <c r="I194" s="37" t="s">
        <v>736</v>
      </c>
      <c r="J194" s="37" t="s">
        <v>89</v>
      </c>
      <c r="K194" s="34" t="s">
        <v>1548</v>
      </c>
      <c r="L194" s="34">
        <f t="shared" si="2"/>
        <v>1.6666666666666666E-2</v>
      </c>
      <c r="M194" s="39" t="s">
        <v>1544</v>
      </c>
    </row>
    <row r="195" spans="1:13" ht="90">
      <c r="A195" s="41" t="s">
        <v>1579</v>
      </c>
      <c r="B195" s="44" t="s">
        <v>755</v>
      </c>
      <c r="C195" s="37" t="s">
        <v>1586</v>
      </c>
      <c r="D195" s="37" t="s">
        <v>732</v>
      </c>
      <c r="E195" s="37" t="s">
        <v>756</v>
      </c>
      <c r="F195" s="37" t="s">
        <v>201</v>
      </c>
      <c r="G195" s="37" t="s">
        <v>757</v>
      </c>
      <c r="H195" s="37" t="s">
        <v>28</v>
      </c>
      <c r="I195" s="37" t="s">
        <v>758</v>
      </c>
      <c r="J195" s="37" t="s">
        <v>89</v>
      </c>
      <c r="K195" s="34" t="s">
        <v>1548</v>
      </c>
      <c r="L195" s="34">
        <f t="shared" si="2"/>
        <v>1.6666666666666666E-2</v>
      </c>
      <c r="M195" s="39" t="s">
        <v>1542</v>
      </c>
    </row>
    <row r="196" spans="1:13" ht="45">
      <c r="A196" s="41" t="s">
        <v>1579</v>
      </c>
      <c r="B196" s="44" t="s">
        <v>759</v>
      </c>
      <c r="C196" s="37" t="s">
        <v>1586</v>
      </c>
      <c r="D196" s="37" t="s">
        <v>732</v>
      </c>
      <c r="E196" s="37" t="s">
        <v>760</v>
      </c>
      <c r="F196" s="37" t="s">
        <v>96</v>
      </c>
      <c r="G196" s="37" t="s">
        <v>761</v>
      </c>
      <c r="H196" s="37" t="s">
        <v>142</v>
      </c>
      <c r="I196" s="37" t="s">
        <v>762</v>
      </c>
      <c r="J196" s="37" t="s">
        <v>143</v>
      </c>
      <c r="K196" s="34" t="s">
        <v>1548</v>
      </c>
      <c r="L196" s="34">
        <f t="shared" ref="L196:L219" si="3">1/60</f>
        <v>1.6666666666666666E-2</v>
      </c>
      <c r="M196" s="39" t="s">
        <v>1542</v>
      </c>
    </row>
    <row r="197" spans="1:13" ht="45">
      <c r="A197" s="41" t="s">
        <v>1579</v>
      </c>
      <c r="B197" s="44" t="s">
        <v>763</v>
      </c>
      <c r="C197" s="37" t="s">
        <v>1586</v>
      </c>
      <c r="D197" s="37" t="s">
        <v>732</v>
      </c>
      <c r="E197" s="37" t="s">
        <v>764</v>
      </c>
      <c r="F197" s="37" t="s">
        <v>176</v>
      </c>
      <c r="G197" s="37" t="s">
        <v>197</v>
      </c>
      <c r="H197" s="37" t="s">
        <v>28</v>
      </c>
      <c r="I197" s="37" t="s">
        <v>736</v>
      </c>
      <c r="J197" s="37" t="s">
        <v>765</v>
      </c>
      <c r="K197" s="34" t="s">
        <v>1548</v>
      </c>
      <c r="L197" s="34">
        <f t="shared" si="3"/>
        <v>1.6666666666666666E-2</v>
      </c>
      <c r="M197" s="39" t="s">
        <v>1543</v>
      </c>
    </row>
    <row r="198" spans="1:13" ht="45">
      <c r="A198" s="41" t="s">
        <v>1579</v>
      </c>
      <c r="B198" s="44" t="s">
        <v>766</v>
      </c>
      <c r="C198" s="37" t="s">
        <v>1586</v>
      </c>
      <c r="D198" s="37" t="s">
        <v>732</v>
      </c>
      <c r="E198" s="37" t="s">
        <v>767</v>
      </c>
      <c r="F198" s="37" t="s">
        <v>359</v>
      </c>
      <c r="G198" s="37" t="s">
        <v>177</v>
      </c>
      <c r="H198" s="37" t="s">
        <v>28</v>
      </c>
      <c r="I198" s="37" t="s">
        <v>768</v>
      </c>
      <c r="J198" s="37" t="s">
        <v>173</v>
      </c>
      <c r="K198" s="34" t="s">
        <v>1548</v>
      </c>
      <c r="L198" s="34">
        <f t="shared" si="3"/>
        <v>1.6666666666666666E-2</v>
      </c>
      <c r="M198" s="39" t="s">
        <v>1542</v>
      </c>
    </row>
    <row r="199" spans="1:13" ht="32">
      <c r="A199" s="41" t="s">
        <v>1579</v>
      </c>
      <c r="B199" s="44" t="s">
        <v>769</v>
      </c>
      <c r="C199" s="37" t="s">
        <v>1586</v>
      </c>
      <c r="D199" s="37" t="s">
        <v>732</v>
      </c>
      <c r="E199" s="37" t="s">
        <v>770</v>
      </c>
      <c r="F199" s="37" t="s">
        <v>96</v>
      </c>
      <c r="G199" s="37" t="s">
        <v>771</v>
      </c>
      <c r="H199" s="37" t="s">
        <v>28</v>
      </c>
      <c r="I199" s="37" t="s">
        <v>772</v>
      </c>
      <c r="J199" s="37" t="s">
        <v>143</v>
      </c>
      <c r="K199" s="34" t="s">
        <v>1548</v>
      </c>
      <c r="L199" s="34">
        <f t="shared" si="3"/>
        <v>1.6666666666666666E-2</v>
      </c>
      <c r="M199" s="39" t="s">
        <v>1542</v>
      </c>
    </row>
    <row r="200" spans="1:13" ht="75">
      <c r="A200" s="41" t="s">
        <v>1579</v>
      </c>
      <c r="B200" s="44" t="s">
        <v>773</v>
      </c>
      <c r="C200" s="37" t="s">
        <v>1586</v>
      </c>
      <c r="D200" s="37" t="s">
        <v>732</v>
      </c>
      <c r="E200" s="37" t="s">
        <v>774</v>
      </c>
      <c r="F200" s="37" t="s">
        <v>92</v>
      </c>
      <c r="G200" s="37" t="s">
        <v>775</v>
      </c>
      <c r="H200" s="37" t="s">
        <v>28</v>
      </c>
      <c r="I200" s="37" t="s">
        <v>776</v>
      </c>
      <c r="J200" s="37" t="s">
        <v>777</v>
      </c>
      <c r="K200" s="34" t="s">
        <v>1548</v>
      </c>
      <c r="L200" s="34">
        <f t="shared" si="3"/>
        <v>1.6666666666666666E-2</v>
      </c>
      <c r="M200" s="39" t="s">
        <v>1542</v>
      </c>
    </row>
    <row r="201" spans="1:13" ht="32">
      <c r="A201" s="41" t="s">
        <v>1579</v>
      </c>
      <c r="B201" s="44" t="s">
        <v>778</v>
      </c>
      <c r="C201" s="37" t="s">
        <v>1586</v>
      </c>
      <c r="D201" s="37" t="s">
        <v>732</v>
      </c>
      <c r="E201" s="37" t="s">
        <v>779</v>
      </c>
      <c r="F201" s="37" t="s">
        <v>96</v>
      </c>
      <c r="G201" s="37" t="s">
        <v>780</v>
      </c>
      <c r="H201" s="37" t="s">
        <v>28</v>
      </c>
      <c r="I201" s="37" t="s">
        <v>776</v>
      </c>
      <c r="J201" s="37" t="s">
        <v>241</v>
      </c>
      <c r="K201" s="34" t="s">
        <v>1548</v>
      </c>
      <c r="L201" s="34">
        <f t="shared" si="3"/>
        <v>1.6666666666666666E-2</v>
      </c>
      <c r="M201" s="39" t="s">
        <v>1542</v>
      </c>
    </row>
    <row r="202" spans="1:13" ht="32">
      <c r="A202" s="41" t="s">
        <v>1579</v>
      </c>
      <c r="B202" s="44" t="s">
        <v>781</v>
      </c>
      <c r="C202" s="37" t="s">
        <v>1586</v>
      </c>
      <c r="D202" s="37" t="s">
        <v>732</v>
      </c>
      <c r="E202" s="37" t="s">
        <v>782</v>
      </c>
      <c r="F202" s="37" t="s">
        <v>191</v>
      </c>
      <c r="G202" s="37" t="s">
        <v>783</v>
      </c>
      <c r="H202" s="37" t="s">
        <v>28</v>
      </c>
      <c r="I202" s="37" t="s">
        <v>776</v>
      </c>
      <c r="J202" s="37" t="s">
        <v>241</v>
      </c>
      <c r="K202" s="34" t="s">
        <v>1548</v>
      </c>
      <c r="L202" s="34">
        <f t="shared" si="3"/>
        <v>1.6666666666666666E-2</v>
      </c>
      <c r="M202" s="39" t="s">
        <v>1542</v>
      </c>
    </row>
    <row r="203" spans="1:13" ht="45">
      <c r="A203" s="41" t="s">
        <v>1579</v>
      </c>
      <c r="B203" s="44" t="s">
        <v>784</v>
      </c>
      <c r="C203" s="37" t="s">
        <v>1586</v>
      </c>
      <c r="D203" s="37" t="s">
        <v>732</v>
      </c>
      <c r="E203" s="37" t="s">
        <v>785</v>
      </c>
      <c r="F203" s="37" t="s">
        <v>201</v>
      </c>
      <c r="G203" s="37" t="s">
        <v>117</v>
      </c>
      <c r="H203" s="37" t="s">
        <v>86</v>
      </c>
      <c r="I203" s="37" t="s">
        <v>786</v>
      </c>
      <c r="J203" s="37" t="s">
        <v>787</v>
      </c>
      <c r="K203" s="34" t="s">
        <v>1548</v>
      </c>
      <c r="L203" s="34">
        <f t="shared" si="3"/>
        <v>1.6666666666666666E-2</v>
      </c>
      <c r="M203" s="39" t="s">
        <v>1542</v>
      </c>
    </row>
    <row r="204" spans="1:13" ht="45" hidden="1">
      <c r="A204" s="41" t="s">
        <v>1579</v>
      </c>
      <c r="B204" s="44" t="s">
        <v>788</v>
      </c>
      <c r="C204" s="48" t="s">
        <v>1587</v>
      </c>
      <c r="D204" s="37" t="s">
        <v>790</v>
      </c>
      <c r="E204" s="37" t="s">
        <v>791</v>
      </c>
      <c r="F204" s="37" t="s">
        <v>359</v>
      </c>
      <c r="G204" s="37" t="s">
        <v>177</v>
      </c>
      <c r="H204" s="37" t="s">
        <v>86</v>
      </c>
      <c r="I204" s="37" t="s">
        <v>792</v>
      </c>
      <c r="J204" s="37" t="s">
        <v>793</v>
      </c>
      <c r="K204" s="34" t="s">
        <v>1550</v>
      </c>
      <c r="L204" s="34">
        <f t="shared" si="3"/>
        <v>1.6666666666666666E-2</v>
      </c>
      <c r="M204" s="39" t="s">
        <v>1545</v>
      </c>
    </row>
    <row r="205" spans="1:13" ht="32" hidden="1">
      <c r="A205" s="41" t="s">
        <v>1579</v>
      </c>
      <c r="B205" s="44" t="s">
        <v>794</v>
      </c>
      <c r="C205" s="48" t="s">
        <v>1587</v>
      </c>
      <c r="D205" s="37" t="s">
        <v>790</v>
      </c>
      <c r="E205" s="37" t="s">
        <v>795</v>
      </c>
      <c r="F205" s="37" t="s">
        <v>359</v>
      </c>
      <c r="G205" s="37" t="s">
        <v>177</v>
      </c>
      <c r="H205" s="37" t="s">
        <v>86</v>
      </c>
      <c r="I205" s="37" t="s">
        <v>792</v>
      </c>
      <c r="J205" s="37" t="s">
        <v>143</v>
      </c>
      <c r="K205" s="34" t="s">
        <v>1550</v>
      </c>
      <c r="L205" s="34">
        <f t="shared" si="3"/>
        <v>1.6666666666666666E-2</v>
      </c>
      <c r="M205" s="39" t="s">
        <v>1545</v>
      </c>
    </row>
    <row r="206" spans="1:13" ht="32" hidden="1">
      <c r="A206" s="41" t="s">
        <v>1579</v>
      </c>
      <c r="B206" s="44" t="s">
        <v>796</v>
      </c>
      <c r="C206" s="48" t="s">
        <v>1587</v>
      </c>
      <c r="D206" s="37" t="s">
        <v>790</v>
      </c>
      <c r="E206" s="37" t="s">
        <v>797</v>
      </c>
      <c r="F206" s="37" t="s">
        <v>176</v>
      </c>
      <c r="G206" s="37" t="s">
        <v>197</v>
      </c>
      <c r="H206" s="37" t="s">
        <v>86</v>
      </c>
      <c r="I206" s="37" t="s">
        <v>87</v>
      </c>
      <c r="J206" s="37" t="s">
        <v>108</v>
      </c>
      <c r="K206" s="34" t="s">
        <v>1550</v>
      </c>
      <c r="L206" s="34">
        <f t="shared" si="3"/>
        <v>1.6666666666666666E-2</v>
      </c>
      <c r="M206" s="39" t="s">
        <v>1545</v>
      </c>
    </row>
    <row r="207" spans="1:13" ht="32" hidden="1">
      <c r="A207" s="41" t="s">
        <v>1579</v>
      </c>
      <c r="B207" s="44" t="s">
        <v>798</v>
      </c>
      <c r="C207" s="48" t="s">
        <v>1587</v>
      </c>
      <c r="D207" s="37" t="s">
        <v>790</v>
      </c>
      <c r="E207" s="37" t="s">
        <v>799</v>
      </c>
      <c r="F207" s="37" t="s">
        <v>359</v>
      </c>
      <c r="G207" s="37" t="s">
        <v>177</v>
      </c>
      <c r="H207" s="37" t="s">
        <v>86</v>
      </c>
      <c r="I207" s="37" t="s">
        <v>172</v>
      </c>
      <c r="J207" s="37" t="s">
        <v>173</v>
      </c>
      <c r="K207" s="34" t="s">
        <v>1548</v>
      </c>
      <c r="L207" s="34">
        <f t="shared" si="3"/>
        <v>1.6666666666666666E-2</v>
      </c>
      <c r="M207" s="39" t="s">
        <v>1545</v>
      </c>
    </row>
    <row r="208" spans="1:13" ht="45" hidden="1">
      <c r="A208" s="41" t="s">
        <v>1579</v>
      </c>
      <c r="B208" s="44" t="s">
        <v>800</v>
      </c>
      <c r="C208" s="48" t="s">
        <v>1587</v>
      </c>
      <c r="D208" s="37" t="s">
        <v>790</v>
      </c>
      <c r="E208" s="37" t="s">
        <v>801</v>
      </c>
      <c r="F208" s="37" t="s">
        <v>96</v>
      </c>
      <c r="G208" s="37" t="s">
        <v>117</v>
      </c>
      <c r="H208" s="37" t="s">
        <v>28</v>
      </c>
      <c r="I208" s="37" t="s">
        <v>802</v>
      </c>
      <c r="J208" s="37" t="s">
        <v>103</v>
      </c>
      <c r="K208" s="34" t="s">
        <v>1548</v>
      </c>
      <c r="L208" s="34">
        <f t="shared" si="3"/>
        <v>1.6666666666666666E-2</v>
      </c>
      <c r="M208" s="39" t="s">
        <v>1545</v>
      </c>
    </row>
    <row r="209" spans="1:13" ht="32" hidden="1">
      <c r="A209" s="41" t="s">
        <v>1579</v>
      </c>
      <c r="B209" s="44" t="s">
        <v>803</v>
      </c>
      <c r="C209" s="48" t="s">
        <v>1587</v>
      </c>
      <c r="D209" s="37" t="s">
        <v>790</v>
      </c>
      <c r="E209" s="37" t="s">
        <v>804</v>
      </c>
      <c r="F209" s="37" t="s">
        <v>805</v>
      </c>
      <c r="G209" s="37" t="s">
        <v>806</v>
      </c>
      <c r="H209" s="37" t="s">
        <v>28</v>
      </c>
      <c r="I209" s="37" t="s">
        <v>802</v>
      </c>
      <c r="J209" s="37" t="s">
        <v>549</v>
      </c>
      <c r="K209" s="34" t="s">
        <v>1548</v>
      </c>
      <c r="L209" s="34">
        <f t="shared" si="3"/>
        <v>1.6666666666666666E-2</v>
      </c>
      <c r="M209" s="39" t="s">
        <v>1545</v>
      </c>
    </row>
    <row r="210" spans="1:13" ht="32" hidden="1">
      <c r="A210" s="41" t="s">
        <v>1579</v>
      </c>
      <c r="B210" s="44" t="s">
        <v>807</v>
      </c>
      <c r="C210" s="48" t="s">
        <v>1587</v>
      </c>
      <c r="D210" s="37" t="s">
        <v>790</v>
      </c>
      <c r="E210" s="37" t="s">
        <v>808</v>
      </c>
      <c r="F210" s="37" t="s">
        <v>809</v>
      </c>
      <c r="G210" s="37" t="s">
        <v>810</v>
      </c>
      <c r="H210" s="37" t="s">
        <v>28</v>
      </c>
      <c r="I210" s="37" t="s">
        <v>811</v>
      </c>
      <c r="J210" s="37" t="s">
        <v>549</v>
      </c>
      <c r="K210" s="34" t="s">
        <v>1548</v>
      </c>
      <c r="L210" s="34">
        <f t="shared" si="3"/>
        <v>1.6666666666666666E-2</v>
      </c>
      <c r="M210" s="39" t="s">
        <v>1545</v>
      </c>
    </row>
    <row r="211" spans="1:13" ht="32" hidden="1">
      <c r="A211" s="41" t="s">
        <v>1579</v>
      </c>
      <c r="B211" s="44" t="s">
        <v>812</v>
      </c>
      <c r="C211" s="48" t="s">
        <v>1587</v>
      </c>
      <c r="D211" s="37" t="s">
        <v>790</v>
      </c>
      <c r="E211" s="37" t="s">
        <v>813</v>
      </c>
      <c r="F211" s="37" t="s">
        <v>805</v>
      </c>
      <c r="G211" s="37" t="s">
        <v>806</v>
      </c>
      <c r="H211" s="37" t="s">
        <v>86</v>
      </c>
      <c r="I211" s="37" t="s">
        <v>87</v>
      </c>
      <c r="J211" s="37" t="s">
        <v>121</v>
      </c>
      <c r="K211" s="34" t="s">
        <v>1548</v>
      </c>
      <c r="L211" s="34">
        <f t="shared" si="3"/>
        <v>1.6666666666666666E-2</v>
      </c>
      <c r="M211" s="39" t="s">
        <v>1545</v>
      </c>
    </row>
    <row r="212" spans="1:13" ht="90" hidden="1">
      <c r="A212" s="41" t="s">
        <v>1579</v>
      </c>
      <c r="B212" s="44" t="s">
        <v>814</v>
      </c>
      <c r="C212" s="37" t="s">
        <v>1581</v>
      </c>
      <c r="D212" s="37" t="s">
        <v>790</v>
      </c>
      <c r="E212" s="37" t="s">
        <v>815</v>
      </c>
      <c r="F212" s="37" t="s">
        <v>816</v>
      </c>
      <c r="G212" s="37" t="s">
        <v>817</v>
      </c>
      <c r="H212" s="37" t="s">
        <v>86</v>
      </c>
      <c r="I212" s="37" t="s">
        <v>87</v>
      </c>
      <c r="J212" s="37" t="s">
        <v>89</v>
      </c>
      <c r="K212" s="34" t="s">
        <v>1548</v>
      </c>
      <c r="L212" s="34">
        <f t="shared" si="3"/>
        <v>1.6666666666666666E-2</v>
      </c>
      <c r="M212" s="39" t="s">
        <v>1545</v>
      </c>
    </row>
    <row r="213" spans="1:13" ht="32" hidden="1">
      <c r="A213" s="41" t="s">
        <v>1579</v>
      </c>
      <c r="B213" s="44" t="s">
        <v>818</v>
      </c>
      <c r="C213" s="37" t="s">
        <v>1588</v>
      </c>
      <c r="D213" s="37" t="s">
        <v>790</v>
      </c>
      <c r="E213" s="37" t="s">
        <v>819</v>
      </c>
      <c r="F213" s="37" t="s">
        <v>191</v>
      </c>
      <c r="G213" s="37" t="s">
        <v>192</v>
      </c>
      <c r="H213" s="37" t="s">
        <v>86</v>
      </c>
      <c r="I213" s="37" t="s">
        <v>87</v>
      </c>
      <c r="J213" s="37" t="s">
        <v>108</v>
      </c>
      <c r="K213" s="34" t="s">
        <v>1548</v>
      </c>
      <c r="L213" s="34">
        <f t="shared" si="3"/>
        <v>1.6666666666666666E-2</v>
      </c>
      <c r="M213" s="39" t="s">
        <v>1547</v>
      </c>
    </row>
    <row r="214" spans="1:13" ht="32" hidden="1">
      <c r="A214" s="41" t="s">
        <v>1579</v>
      </c>
      <c r="B214" s="44" t="s">
        <v>820</v>
      </c>
      <c r="C214" s="37" t="s">
        <v>1588</v>
      </c>
      <c r="D214" s="37" t="s">
        <v>790</v>
      </c>
      <c r="E214" s="37" t="s">
        <v>821</v>
      </c>
      <c r="F214" s="37" t="s">
        <v>359</v>
      </c>
      <c r="G214" s="37" t="s">
        <v>177</v>
      </c>
      <c r="H214" s="37" t="s">
        <v>28</v>
      </c>
      <c r="I214" s="37" t="s">
        <v>822</v>
      </c>
      <c r="J214" s="37" t="s">
        <v>823</v>
      </c>
      <c r="K214" s="34" t="s">
        <v>1548</v>
      </c>
      <c r="L214" s="34">
        <f t="shared" si="3"/>
        <v>1.6666666666666666E-2</v>
      </c>
      <c r="M214" s="39" t="s">
        <v>1546</v>
      </c>
    </row>
    <row r="215" spans="1:13" ht="32" hidden="1">
      <c r="A215" s="41" t="s">
        <v>1579</v>
      </c>
      <c r="B215" s="44" t="s">
        <v>824</v>
      </c>
      <c r="C215" s="37" t="s">
        <v>1588</v>
      </c>
      <c r="D215" s="37" t="s">
        <v>790</v>
      </c>
      <c r="E215" s="37" t="s">
        <v>825</v>
      </c>
      <c r="F215" s="37" t="s">
        <v>359</v>
      </c>
      <c r="G215" s="37" t="s">
        <v>177</v>
      </c>
      <c r="H215" s="37" t="s">
        <v>28</v>
      </c>
      <c r="I215" s="37" t="s">
        <v>811</v>
      </c>
      <c r="J215" s="37" t="s">
        <v>173</v>
      </c>
      <c r="K215" s="34" t="s">
        <v>1548</v>
      </c>
      <c r="L215" s="34">
        <f t="shared" si="3"/>
        <v>1.6666666666666666E-2</v>
      </c>
      <c r="M215" s="39" t="s">
        <v>1546</v>
      </c>
    </row>
    <row r="216" spans="1:13" ht="32" hidden="1">
      <c r="A216" s="41" t="s">
        <v>1579</v>
      </c>
      <c r="B216" s="44" t="s">
        <v>826</v>
      </c>
      <c r="C216" s="37" t="s">
        <v>1588</v>
      </c>
      <c r="D216" s="37" t="s">
        <v>790</v>
      </c>
      <c r="E216" s="37" t="s">
        <v>827</v>
      </c>
      <c r="F216" s="37" t="s">
        <v>176</v>
      </c>
      <c r="G216" s="37" t="s">
        <v>197</v>
      </c>
      <c r="H216" s="37" t="s">
        <v>86</v>
      </c>
      <c r="I216" s="37" t="s">
        <v>87</v>
      </c>
      <c r="J216" s="37" t="s">
        <v>828</v>
      </c>
      <c r="K216" s="34" t="s">
        <v>1548</v>
      </c>
      <c r="L216" s="34">
        <f t="shared" si="3"/>
        <v>1.6666666666666666E-2</v>
      </c>
      <c r="M216" s="39" t="s">
        <v>1546</v>
      </c>
    </row>
    <row r="217" spans="1:13" ht="32" hidden="1">
      <c r="A217" s="41" t="s">
        <v>1579</v>
      </c>
      <c r="B217" s="44" t="s">
        <v>829</v>
      </c>
      <c r="C217" s="37" t="s">
        <v>1588</v>
      </c>
      <c r="D217" s="37" t="s">
        <v>790</v>
      </c>
      <c r="E217" s="37" t="s">
        <v>830</v>
      </c>
      <c r="F217" s="37" t="s">
        <v>176</v>
      </c>
      <c r="G217" s="37" t="s">
        <v>197</v>
      </c>
      <c r="H217" s="37" t="s">
        <v>86</v>
      </c>
      <c r="I217" s="37" t="s">
        <v>87</v>
      </c>
      <c r="J217" s="37" t="s">
        <v>828</v>
      </c>
      <c r="K217" s="34" t="s">
        <v>1548</v>
      </c>
      <c r="L217" s="34">
        <f t="shared" si="3"/>
        <v>1.6666666666666666E-2</v>
      </c>
      <c r="M217" s="39" t="s">
        <v>1546</v>
      </c>
    </row>
    <row r="218" spans="1:13" ht="32" hidden="1">
      <c r="A218" s="41" t="s">
        <v>1579</v>
      </c>
      <c r="B218" s="44" t="s">
        <v>831</v>
      </c>
      <c r="C218" s="37" t="s">
        <v>1582</v>
      </c>
      <c r="D218" s="37" t="s">
        <v>790</v>
      </c>
      <c r="E218" s="37" t="s">
        <v>832</v>
      </c>
      <c r="F218" s="37" t="s">
        <v>96</v>
      </c>
      <c r="G218" s="37" t="s">
        <v>833</v>
      </c>
      <c r="H218" s="37" t="s">
        <v>212</v>
      </c>
      <c r="I218" s="37" t="s">
        <v>213</v>
      </c>
      <c r="J218" s="37" t="s">
        <v>173</v>
      </c>
      <c r="K218" s="34" t="s">
        <v>1548</v>
      </c>
      <c r="L218" s="34">
        <f t="shared" si="3"/>
        <v>1.6666666666666666E-2</v>
      </c>
      <c r="M218" s="39" t="s">
        <v>1546</v>
      </c>
    </row>
    <row r="219" spans="1:13" ht="32" hidden="1">
      <c r="A219" s="41" t="s">
        <v>1579</v>
      </c>
      <c r="B219" s="46" t="s">
        <v>834</v>
      </c>
      <c r="C219" s="37" t="s">
        <v>1581</v>
      </c>
      <c r="D219" s="42" t="s">
        <v>790</v>
      </c>
      <c r="E219" s="42" t="s">
        <v>835</v>
      </c>
      <c r="F219" s="42" t="s">
        <v>106</v>
      </c>
      <c r="G219" s="42" t="s">
        <v>836</v>
      </c>
      <c r="H219" s="42" t="s">
        <v>28</v>
      </c>
      <c r="I219" s="42" t="s">
        <v>837</v>
      </c>
      <c r="J219" s="42" t="s">
        <v>241</v>
      </c>
      <c r="K219" s="34" t="s">
        <v>1548</v>
      </c>
      <c r="L219" s="34">
        <f t="shared" si="3"/>
        <v>1.6666666666666666E-2</v>
      </c>
      <c r="M219" s="39" t="s">
        <v>1546</v>
      </c>
    </row>
  </sheetData>
  <mergeCells count="1">
    <mergeCell ref="A1:M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9"/>
  <sheetViews>
    <sheetView topLeftCell="A39" zoomScale="170" zoomScaleNormal="170" workbookViewId="0">
      <selection activeCell="B14" sqref="B14"/>
    </sheetView>
  </sheetViews>
  <sheetFormatPr baseColWidth="10" defaultColWidth="8.83203125" defaultRowHeight="14"/>
  <cols>
    <col min="1" max="1" width="10" customWidth="1"/>
    <col min="2" max="2" width="22" customWidth="1"/>
    <col min="3" max="3" width="58" customWidth="1"/>
    <col min="4" max="4" width="26" customWidth="1"/>
    <col min="5" max="5" width="28" customWidth="1"/>
    <col min="6" max="6" width="32" customWidth="1"/>
    <col min="7" max="8" width="18" customWidth="1"/>
    <col min="9" max="9" width="40" customWidth="1"/>
    <col min="10" max="10" width="42" customWidth="1"/>
  </cols>
  <sheetData>
    <row r="1" spans="1:10" ht="37.25" customHeight="1">
      <c r="A1" s="20" t="s">
        <v>838</v>
      </c>
      <c r="B1" s="20"/>
      <c r="C1" s="20"/>
      <c r="D1" s="20"/>
      <c r="E1" s="20"/>
      <c r="F1" s="20"/>
      <c r="G1" s="20"/>
      <c r="H1" s="20"/>
      <c r="I1" s="20"/>
      <c r="J1" s="20"/>
    </row>
    <row r="3" spans="1:10" ht="45.25" customHeight="1">
      <c r="A3" s="1" t="s">
        <v>839</v>
      </c>
      <c r="B3" s="2" t="s">
        <v>840</v>
      </c>
      <c r="C3" s="2" t="s">
        <v>841</v>
      </c>
      <c r="D3" s="2" t="s">
        <v>842</v>
      </c>
      <c r="E3" s="2" t="s">
        <v>843</v>
      </c>
      <c r="F3" s="2" t="s">
        <v>844</v>
      </c>
      <c r="G3" s="2" t="s">
        <v>78</v>
      </c>
      <c r="H3" s="2" t="s">
        <v>845</v>
      </c>
      <c r="I3" s="2" t="s">
        <v>80</v>
      </c>
      <c r="J3" s="3" t="s">
        <v>846</v>
      </c>
    </row>
    <row r="4" spans="1:10" ht="16">
      <c r="A4" s="16" t="s">
        <v>847</v>
      </c>
      <c r="B4" s="10" t="s">
        <v>848</v>
      </c>
      <c r="C4" s="10" t="s">
        <v>849</v>
      </c>
      <c r="D4" s="10" t="s">
        <v>850</v>
      </c>
      <c r="E4" s="10"/>
      <c r="F4" s="10" t="s">
        <v>851</v>
      </c>
      <c r="G4" s="10" t="s">
        <v>852</v>
      </c>
      <c r="H4" s="10" t="s">
        <v>853</v>
      </c>
      <c r="I4" s="10" t="s">
        <v>173</v>
      </c>
      <c r="J4" s="11"/>
    </row>
    <row r="5" spans="1:10" ht="30">
      <c r="A5" s="17" t="s">
        <v>854</v>
      </c>
      <c r="B5" s="12" t="s">
        <v>848</v>
      </c>
      <c r="C5" s="12" t="s">
        <v>855</v>
      </c>
      <c r="D5" s="12" t="s">
        <v>856</v>
      </c>
      <c r="E5" s="12"/>
      <c r="F5" s="12" t="s">
        <v>172</v>
      </c>
      <c r="G5" s="12" t="s">
        <v>86</v>
      </c>
      <c r="H5" s="12" t="s">
        <v>88</v>
      </c>
      <c r="I5" s="12" t="s">
        <v>173</v>
      </c>
      <c r="J5" s="13"/>
    </row>
    <row r="6" spans="1:10" ht="16">
      <c r="A6" s="17" t="s">
        <v>857</v>
      </c>
      <c r="B6" s="12" t="s">
        <v>848</v>
      </c>
      <c r="C6" s="12" t="s">
        <v>858</v>
      </c>
      <c r="D6" s="12" t="s">
        <v>859</v>
      </c>
      <c r="E6" s="12"/>
      <c r="F6" s="12" t="s">
        <v>87</v>
      </c>
      <c r="G6" s="12" t="s">
        <v>86</v>
      </c>
      <c r="H6" s="12" t="s">
        <v>860</v>
      </c>
      <c r="I6" s="12" t="s">
        <v>173</v>
      </c>
      <c r="J6" s="13"/>
    </row>
    <row r="7" spans="1:10" ht="30">
      <c r="A7" s="17" t="s">
        <v>861</v>
      </c>
      <c r="B7" s="12" t="s">
        <v>862</v>
      </c>
      <c r="C7" s="12" t="s">
        <v>863</v>
      </c>
      <c r="D7" s="12" t="s">
        <v>864</v>
      </c>
      <c r="E7" s="12"/>
      <c r="F7" s="12" t="s">
        <v>792</v>
      </c>
      <c r="G7" s="12" t="s">
        <v>86</v>
      </c>
      <c r="H7" s="12" t="s">
        <v>853</v>
      </c>
      <c r="I7" s="12" t="s">
        <v>865</v>
      </c>
      <c r="J7" s="13"/>
    </row>
    <row r="8" spans="1:10" ht="30">
      <c r="A8" s="17" t="s">
        <v>866</v>
      </c>
      <c r="B8" s="12" t="s">
        <v>862</v>
      </c>
      <c r="C8" s="12" t="s">
        <v>867</v>
      </c>
      <c r="D8" s="12" t="s">
        <v>868</v>
      </c>
      <c r="E8" s="12"/>
      <c r="F8" s="12" t="s">
        <v>792</v>
      </c>
      <c r="G8" s="12" t="s">
        <v>86</v>
      </c>
      <c r="H8" s="12" t="s">
        <v>860</v>
      </c>
      <c r="I8" s="12" t="s">
        <v>277</v>
      </c>
      <c r="J8" s="13"/>
    </row>
    <row r="9" spans="1:10" ht="16">
      <c r="A9" s="17" t="s">
        <v>869</v>
      </c>
      <c r="B9" s="12" t="s">
        <v>862</v>
      </c>
      <c r="C9" s="12" t="s">
        <v>870</v>
      </c>
      <c r="D9" s="12" t="s">
        <v>871</v>
      </c>
      <c r="E9" s="12"/>
      <c r="F9" s="12" t="s">
        <v>792</v>
      </c>
      <c r="G9" s="12" t="s">
        <v>86</v>
      </c>
      <c r="H9" s="12" t="s">
        <v>872</v>
      </c>
      <c r="I9" s="12" t="s">
        <v>267</v>
      </c>
      <c r="J9" s="13"/>
    </row>
    <row r="10" spans="1:10" ht="30">
      <c r="A10" s="17" t="s">
        <v>873</v>
      </c>
      <c r="B10" s="12" t="s">
        <v>862</v>
      </c>
      <c r="C10" s="12" t="s">
        <v>874</v>
      </c>
      <c r="D10" s="12" t="s">
        <v>875</v>
      </c>
      <c r="E10" s="12"/>
      <c r="F10" s="12" t="s">
        <v>792</v>
      </c>
      <c r="G10" s="12" t="s">
        <v>86</v>
      </c>
      <c r="H10" s="12" t="s">
        <v>872</v>
      </c>
      <c r="I10" s="12" t="s">
        <v>111</v>
      </c>
      <c r="J10" s="13"/>
    </row>
    <row r="11" spans="1:10" ht="30">
      <c r="A11" s="17" t="s">
        <v>876</v>
      </c>
      <c r="B11" s="12" t="s">
        <v>862</v>
      </c>
      <c r="C11" s="12" t="s">
        <v>877</v>
      </c>
      <c r="D11" s="12" t="s">
        <v>868</v>
      </c>
      <c r="E11" s="12"/>
      <c r="F11" s="12" t="s">
        <v>792</v>
      </c>
      <c r="G11" s="12" t="s">
        <v>86</v>
      </c>
      <c r="H11" s="12" t="s">
        <v>872</v>
      </c>
      <c r="I11" s="12" t="s">
        <v>277</v>
      </c>
      <c r="J11" s="13"/>
    </row>
    <row r="12" spans="1:10" ht="30">
      <c r="A12" s="17" t="s">
        <v>878</v>
      </c>
      <c r="B12" s="12" t="s">
        <v>879</v>
      </c>
      <c r="C12" s="12" t="s">
        <v>880</v>
      </c>
      <c r="D12" s="12" t="s">
        <v>881</v>
      </c>
      <c r="E12" s="12"/>
      <c r="F12" s="12" t="s">
        <v>882</v>
      </c>
      <c r="G12" s="12" t="s">
        <v>28</v>
      </c>
      <c r="H12" s="12" t="s">
        <v>872</v>
      </c>
      <c r="I12" s="12" t="s">
        <v>277</v>
      </c>
      <c r="J12" s="13"/>
    </row>
    <row r="13" spans="1:10" ht="30">
      <c r="A13" s="17" t="s">
        <v>883</v>
      </c>
      <c r="B13" s="12" t="s">
        <v>879</v>
      </c>
      <c r="C13" s="12" t="s">
        <v>884</v>
      </c>
      <c r="D13" s="12" t="s">
        <v>868</v>
      </c>
      <c r="E13" s="12"/>
      <c r="F13" s="12" t="s">
        <v>885</v>
      </c>
      <c r="G13" s="12" t="s">
        <v>86</v>
      </c>
      <c r="H13" s="12" t="s">
        <v>872</v>
      </c>
      <c r="I13" s="12" t="s">
        <v>886</v>
      </c>
      <c r="J13" s="13"/>
    </row>
    <row r="14" spans="1:10" ht="30">
      <c r="A14" s="17" t="s">
        <v>887</v>
      </c>
      <c r="B14" s="12" t="s">
        <v>879</v>
      </c>
      <c r="C14" s="12" t="s">
        <v>888</v>
      </c>
      <c r="D14" s="12" t="s">
        <v>889</v>
      </c>
      <c r="E14" s="12"/>
      <c r="F14" s="12" t="s">
        <v>792</v>
      </c>
      <c r="G14" s="12" t="s">
        <v>86</v>
      </c>
      <c r="H14" s="12" t="s">
        <v>890</v>
      </c>
      <c r="I14" s="12" t="s">
        <v>108</v>
      </c>
      <c r="J14" s="13"/>
    </row>
    <row r="15" spans="1:10" ht="30">
      <c r="A15" s="17" t="s">
        <v>891</v>
      </c>
      <c r="B15" s="12" t="s">
        <v>892</v>
      </c>
      <c r="C15" s="12" t="s">
        <v>893</v>
      </c>
      <c r="D15" s="12" t="s">
        <v>864</v>
      </c>
      <c r="E15" s="12"/>
      <c r="F15" s="12" t="s">
        <v>345</v>
      </c>
      <c r="G15" s="12" t="s">
        <v>86</v>
      </c>
      <c r="H15" s="12" t="s">
        <v>894</v>
      </c>
      <c r="I15" s="12" t="s">
        <v>143</v>
      </c>
      <c r="J15" s="13"/>
    </row>
    <row r="16" spans="1:10" ht="45">
      <c r="A16" s="17" t="s">
        <v>895</v>
      </c>
      <c r="B16" s="12" t="s">
        <v>892</v>
      </c>
      <c r="C16" s="12" t="s">
        <v>896</v>
      </c>
      <c r="D16" s="12" t="s">
        <v>897</v>
      </c>
      <c r="E16" s="12" t="s">
        <v>898</v>
      </c>
      <c r="F16" s="12" t="s">
        <v>345</v>
      </c>
      <c r="G16" s="12" t="s">
        <v>852</v>
      </c>
      <c r="H16" s="12" t="s">
        <v>899</v>
      </c>
      <c r="I16" s="12" t="s">
        <v>900</v>
      </c>
      <c r="J16" s="13"/>
    </row>
    <row r="17" spans="1:10" ht="30">
      <c r="A17" s="17" t="s">
        <v>901</v>
      </c>
      <c r="B17" s="12" t="s">
        <v>892</v>
      </c>
      <c r="C17" s="12" t="s">
        <v>902</v>
      </c>
      <c r="D17" s="12" t="s">
        <v>850</v>
      </c>
      <c r="E17" s="12" t="s">
        <v>136</v>
      </c>
      <c r="F17" s="12" t="s">
        <v>363</v>
      </c>
      <c r="G17" s="12" t="s">
        <v>852</v>
      </c>
      <c r="H17" s="12" t="s">
        <v>903</v>
      </c>
      <c r="I17" s="12" t="s">
        <v>366</v>
      </c>
      <c r="J17" s="13"/>
    </row>
    <row r="18" spans="1:10" ht="16">
      <c r="A18" s="17" t="s">
        <v>904</v>
      </c>
      <c r="B18" s="12" t="s">
        <v>892</v>
      </c>
      <c r="C18" s="12" t="s">
        <v>905</v>
      </c>
      <c r="D18" s="12" t="s">
        <v>850</v>
      </c>
      <c r="E18" s="12" t="s">
        <v>906</v>
      </c>
      <c r="F18" s="12" t="s">
        <v>811</v>
      </c>
      <c r="G18" s="12" t="s">
        <v>852</v>
      </c>
      <c r="H18" s="12" t="s">
        <v>182</v>
      </c>
      <c r="I18" s="12" t="s">
        <v>228</v>
      </c>
      <c r="J18" s="13"/>
    </row>
    <row r="19" spans="1:10" ht="16">
      <c r="A19" s="17" t="s">
        <v>907</v>
      </c>
      <c r="B19" s="12" t="s">
        <v>908</v>
      </c>
      <c r="C19" s="12" t="s">
        <v>909</v>
      </c>
      <c r="D19" s="12" t="s">
        <v>910</v>
      </c>
      <c r="E19" s="12"/>
      <c r="F19" s="12" t="s">
        <v>911</v>
      </c>
      <c r="G19" s="12" t="s">
        <v>28</v>
      </c>
      <c r="H19" s="12" t="s">
        <v>872</v>
      </c>
      <c r="I19" s="12" t="s">
        <v>241</v>
      </c>
      <c r="J19" s="13"/>
    </row>
    <row r="20" spans="1:10" ht="16">
      <c r="A20" s="17" t="s">
        <v>912</v>
      </c>
      <c r="B20" s="12" t="s">
        <v>913</v>
      </c>
      <c r="C20" s="12" t="s">
        <v>914</v>
      </c>
      <c r="D20" s="12" t="s">
        <v>915</v>
      </c>
      <c r="E20" s="12" t="s">
        <v>916</v>
      </c>
      <c r="F20" s="12" t="s">
        <v>917</v>
      </c>
      <c r="G20" s="12" t="s">
        <v>86</v>
      </c>
      <c r="H20" s="12" t="s">
        <v>872</v>
      </c>
      <c r="I20" s="12" t="s">
        <v>173</v>
      </c>
      <c r="J20" s="13"/>
    </row>
    <row r="21" spans="1:10" ht="30">
      <c r="A21" s="17" t="s">
        <v>918</v>
      </c>
      <c r="B21" s="12" t="s">
        <v>913</v>
      </c>
      <c r="C21" s="12" t="s">
        <v>919</v>
      </c>
      <c r="D21" s="12" t="s">
        <v>920</v>
      </c>
      <c r="E21" s="12"/>
      <c r="F21" s="12" t="s">
        <v>403</v>
      </c>
      <c r="G21" s="12" t="s">
        <v>86</v>
      </c>
      <c r="H21" s="12" t="s">
        <v>921</v>
      </c>
      <c r="I21" s="12" t="s">
        <v>417</v>
      </c>
      <c r="J21" s="13"/>
    </row>
    <row r="22" spans="1:10" ht="30">
      <c r="A22" s="17" t="s">
        <v>922</v>
      </c>
      <c r="B22" s="12" t="s">
        <v>913</v>
      </c>
      <c r="C22" s="12" t="s">
        <v>923</v>
      </c>
      <c r="D22" s="12" t="s">
        <v>924</v>
      </c>
      <c r="E22" s="12"/>
      <c r="F22" s="12" t="s">
        <v>403</v>
      </c>
      <c r="G22" s="12" t="s">
        <v>86</v>
      </c>
      <c r="H22" s="12" t="s">
        <v>872</v>
      </c>
      <c r="I22" s="12" t="s">
        <v>925</v>
      </c>
      <c r="J22" s="13"/>
    </row>
    <row r="23" spans="1:10" ht="30">
      <c r="A23" s="17" t="s">
        <v>926</v>
      </c>
      <c r="B23" s="12" t="s">
        <v>913</v>
      </c>
      <c r="C23" s="12" t="s">
        <v>927</v>
      </c>
      <c r="D23" s="12" t="s">
        <v>928</v>
      </c>
      <c r="E23" s="12"/>
      <c r="F23" s="12" t="s">
        <v>929</v>
      </c>
      <c r="G23" s="12" t="s">
        <v>86</v>
      </c>
      <c r="H23" s="12" t="s">
        <v>872</v>
      </c>
      <c r="I23" s="12" t="s">
        <v>930</v>
      </c>
      <c r="J23" s="13"/>
    </row>
    <row r="24" spans="1:10" ht="30">
      <c r="A24" s="17" t="s">
        <v>931</v>
      </c>
      <c r="B24" s="12" t="s">
        <v>932</v>
      </c>
      <c r="C24" s="12" t="s">
        <v>933</v>
      </c>
      <c r="D24" s="12" t="s">
        <v>934</v>
      </c>
      <c r="E24" s="12" t="s">
        <v>935</v>
      </c>
      <c r="F24" s="12" t="s">
        <v>378</v>
      </c>
      <c r="G24" s="12" t="s">
        <v>28</v>
      </c>
      <c r="H24" s="12" t="s">
        <v>853</v>
      </c>
      <c r="I24" s="12" t="s">
        <v>303</v>
      </c>
      <c r="J24" s="13"/>
    </row>
    <row r="25" spans="1:10" ht="30">
      <c r="A25" s="17" t="s">
        <v>936</v>
      </c>
      <c r="B25" s="12" t="s">
        <v>932</v>
      </c>
      <c r="C25" s="12" t="s">
        <v>937</v>
      </c>
      <c r="D25" s="12" t="s">
        <v>938</v>
      </c>
      <c r="E25" s="12"/>
      <c r="F25" s="12" t="s">
        <v>378</v>
      </c>
      <c r="G25" s="12" t="s">
        <v>28</v>
      </c>
      <c r="H25" s="12" t="s">
        <v>853</v>
      </c>
      <c r="I25" s="12" t="s">
        <v>396</v>
      </c>
      <c r="J25" s="13"/>
    </row>
    <row r="26" spans="1:10" ht="16">
      <c r="A26" s="17" t="s">
        <v>939</v>
      </c>
      <c r="B26" s="12" t="s">
        <v>932</v>
      </c>
      <c r="C26" s="12" t="s">
        <v>940</v>
      </c>
      <c r="D26" s="12" t="s">
        <v>915</v>
      </c>
      <c r="E26" s="12"/>
      <c r="F26" s="12" t="s">
        <v>378</v>
      </c>
      <c r="G26" s="12" t="s">
        <v>28</v>
      </c>
      <c r="H26" s="12" t="s">
        <v>872</v>
      </c>
      <c r="I26" s="12" t="s">
        <v>228</v>
      </c>
      <c r="J26" s="13"/>
    </row>
    <row r="27" spans="1:10" ht="30">
      <c r="A27" s="17" t="s">
        <v>941</v>
      </c>
      <c r="B27" s="12" t="s">
        <v>942</v>
      </c>
      <c r="C27" s="12" t="s">
        <v>943</v>
      </c>
      <c r="D27" s="12" t="s">
        <v>868</v>
      </c>
      <c r="E27" s="12"/>
      <c r="F27" s="12" t="s">
        <v>289</v>
      </c>
      <c r="G27" s="12" t="s">
        <v>86</v>
      </c>
      <c r="H27" s="12" t="s">
        <v>853</v>
      </c>
      <c r="I27" s="12" t="s">
        <v>944</v>
      </c>
      <c r="J27" s="13"/>
    </row>
    <row r="28" spans="1:10" ht="30">
      <c r="A28" s="17" t="s">
        <v>945</v>
      </c>
      <c r="B28" s="12" t="s">
        <v>942</v>
      </c>
      <c r="C28" s="12" t="s">
        <v>946</v>
      </c>
      <c r="D28" s="12" t="s">
        <v>868</v>
      </c>
      <c r="E28" s="12"/>
      <c r="F28" s="12" t="s">
        <v>289</v>
      </c>
      <c r="G28" s="12" t="s">
        <v>86</v>
      </c>
      <c r="H28" s="12" t="s">
        <v>853</v>
      </c>
      <c r="I28" s="12" t="s">
        <v>944</v>
      </c>
      <c r="J28" s="13"/>
    </row>
    <row r="29" spans="1:10" ht="30">
      <c r="A29" s="17" t="s">
        <v>947</v>
      </c>
      <c r="B29" s="12" t="s">
        <v>942</v>
      </c>
      <c r="C29" s="12" t="s">
        <v>948</v>
      </c>
      <c r="D29" s="12" t="s">
        <v>949</v>
      </c>
      <c r="E29" s="12"/>
      <c r="F29" s="12" t="s">
        <v>950</v>
      </c>
      <c r="G29" s="12" t="s">
        <v>86</v>
      </c>
      <c r="H29" s="12" t="s">
        <v>951</v>
      </c>
      <c r="I29" s="12" t="s">
        <v>930</v>
      </c>
      <c r="J29" s="13"/>
    </row>
    <row r="30" spans="1:10" ht="30">
      <c r="A30" s="17" t="s">
        <v>952</v>
      </c>
      <c r="B30" s="12" t="s">
        <v>942</v>
      </c>
      <c r="C30" s="12" t="s">
        <v>953</v>
      </c>
      <c r="D30" s="12" t="s">
        <v>954</v>
      </c>
      <c r="E30" s="12"/>
      <c r="F30" s="12" t="s">
        <v>289</v>
      </c>
      <c r="G30" s="12" t="s">
        <v>86</v>
      </c>
      <c r="H30" s="12" t="s">
        <v>955</v>
      </c>
      <c r="I30" s="12" t="s">
        <v>173</v>
      </c>
      <c r="J30" s="13"/>
    </row>
    <row r="31" spans="1:10" ht="30">
      <c r="A31" s="17" t="s">
        <v>956</v>
      </c>
      <c r="B31" s="12" t="s">
        <v>957</v>
      </c>
      <c r="C31" s="12" t="s">
        <v>958</v>
      </c>
      <c r="D31" s="12" t="s">
        <v>959</v>
      </c>
      <c r="E31" s="12"/>
      <c r="F31" s="12" t="s">
        <v>692</v>
      </c>
      <c r="G31" s="12" t="s">
        <v>28</v>
      </c>
      <c r="H31" s="12" t="s">
        <v>853</v>
      </c>
      <c r="I31" s="12" t="s">
        <v>528</v>
      </c>
      <c r="J31" s="13"/>
    </row>
    <row r="32" spans="1:10" ht="30">
      <c r="A32" s="17" t="s">
        <v>960</v>
      </c>
      <c r="B32" s="12" t="s">
        <v>961</v>
      </c>
      <c r="C32" s="12" t="s">
        <v>962</v>
      </c>
      <c r="D32" s="12" t="s">
        <v>959</v>
      </c>
      <c r="E32" s="12"/>
      <c r="F32" s="12" t="s">
        <v>963</v>
      </c>
      <c r="G32" s="12" t="s">
        <v>86</v>
      </c>
      <c r="H32" s="12" t="s">
        <v>853</v>
      </c>
      <c r="I32" s="12" t="s">
        <v>277</v>
      </c>
      <c r="J32" s="13"/>
    </row>
    <row r="33" spans="1:10" ht="45">
      <c r="A33" s="17" t="s">
        <v>964</v>
      </c>
      <c r="B33" s="12" t="s">
        <v>961</v>
      </c>
      <c r="C33" s="12" t="s">
        <v>965</v>
      </c>
      <c r="D33" s="12" t="s">
        <v>966</v>
      </c>
      <c r="E33" s="12"/>
      <c r="F33" s="12" t="s">
        <v>963</v>
      </c>
      <c r="G33" s="12" t="s">
        <v>86</v>
      </c>
      <c r="H33" s="12" t="s">
        <v>951</v>
      </c>
      <c r="I33" s="12" t="s">
        <v>967</v>
      </c>
      <c r="J33" s="13"/>
    </row>
    <row r="34" spans="1:10" ht="16">
      <c r="A34" s="17" t="s">
        <v>968</v>
      </c>
      <c r="B34" s="12" t="s">
        <v>961</v>
      </c>
      <c r="C34" s="12" t="s">
        <v>969</v>
      </c>
      <c r="D34" s="12" t="s">
        <v>915</v>
      </c>
      <c r="E34" s="12"/>
      <c r="F34" s="12" t="s">
        <v>963</v>
      </c>
      <c r="G34" s="12" t="s">
        <v>86</v>
      </c>
      <c r="H34" s="12" t="s">
        <v>872</v>
      </c>
      <c r="I34" s="12" t="s">
        <v>143</v>
      </c>
      <c r="J34" s="13"/>
    </row>
    <row r="35" spans="1:10" ht="16">
      <c r="A35" s="17" t="s">
        <v>970</v>
      </c>
      <c r="B35" s="12" t="s">
        <v>961</v>
      </c>
      <c r="C35" s="12" t="s">
        <v>971</v>
      </c>
      <c r="D35" s="12" t="s">
        <v>915</v>
      </c>
      <c r="E35" s="12"/>
      <c r="F35" s="12" t="s">
        <v>972</v>
      </c>
      <c r="G35" s="12" t="s">
        <v>142</v>
      </c>
      <c r="H35" s="12" t="s">
        <v>872</v>
      </c>
      <c r="I35" s="12" t="s">
        <v>143</v>
      </c>
      <c r="J35" s="13"/>
    </row>
    <row r="36" spans="1:10" ht="30">
      <c r="A36" s="17" t="s">
        <v>973</v>
      </c>
      <c r="B36" s="12" t="s">
        <v>961</v>
      </c>
      <c r="C36" s="12" t="s">
        <v>974</v>
      </c>
      <c r="D36" s="12" t="s">
        <v>975</v>
      </c>
      <c r="E36" s="12" t="s">
        <v>976</v>
      </c>
      <c r="F36" s="12" t="s">
        <v>811</v>
      </c>
      <c r="G36" s="12" t="s">
        <v>852</v>
      </c>
      <c r="H36" s="12" t="s">
        <v>853</v>
      </c>
      <c r="I36" s="12" t="s">
        <v>214</v>
      </c>
      <c r="J36" s="13"/>
    </row>
    <row r="37" spans="1:10" ht="30">
      <c r="A37" s="17" t="s">
        <v>977</v>
      </c>
      <c r="B37" s="12" t="s">
        <v>978</v>
      </c>
      <c r="C37" s="12" t="s">
        <v>979</v>
      </c>
      <c r="D37" s="12" t="s">
        <v>864</v>
      </c>
      <c r="E37" s="12" t="s">
        <v>980</v>
      </c>
      <c r="F37" s="12" t="s">
        <v>981</v>
      </c>
      <c r="G37" s="12" t="s">
        <v>86</v>
      </c>
      <c r="H37" s="12" t="s">
        <v>853</v>
      </c>
      <c r="I37" s="12" t="s">
        <v>982</v>
      </c>
      <c r="J37" s="13"/>
    </row>
    <row r="38" spans="1:10" ht="30">
      <c r="A38" s="17" t="s">
        <v>983</v>
      </c>
      <c r="B38" s="12" t="s">
        <v>978</v>
      </c>
      <c r="C38" s="12" t="s">
        <v>984</v>
      </c>
      <c r="D38" s="12" t="s">
        <v>924</v>
      </c>
      <c r="E38" s="12"/>
      <c r="F38" s="12" t="s">
        <v>981</v>
      </c>
      <c r="G38" s="12" t="s">
        <v>86</v>
      </c>
      <c r="H38" s="12" t="s">
        <v>985</v>
      </c>
      <c r="I38" s="12" t="s">
        <v>986</v>
      </c>
      <c r="J38" s="13"/>
    </row>
    <row r="39" spans="1:10" ht="30">
      <c r="A39" s="17" t="s">
        <v>987</v>
      </c>
      <c r="B39" s="12" t="s">
        <v>978</v>
      </c>
      <c r="C39" s="12" t="s">
        <v>988</v>
      </c>
      <c r="D39" s="12" t="s">
        <v>989</v>
      </c>
      <c r="E39" s="12"/>
      <c r="F39" s="12" t="s">
        <v>981</v>
      </c>
      <c r="G39" s="12" t="s">
        <v>86</v>
      </c>
      <c r="H39" s="12" t="s">
        <v>872</v>
      </c>
      <c r="I39" s="12" t="s">
        <v>143</v>
      </c>
      <c r="J39" s="13"/>
    </row>
    <row r="40" spans="1:10" ht="30">
      <c r="A40" s="17" t="s">
        <v>990</v>
      </c>
      <c r="B40" s="12" t="s">
        <v>978</v>
      </c>
      <c r="C40" s="12" t="s">
        <v>991</v>
      </c>
      <c r="D40" s="12" t="s">
        <v>864</v>
      </c>
      <c r="E40" s="12" t="s">
        <v>992</v>
      </c>
      <c r="F40" s="12" t="s">
        <v>993</v>
      </c>
      <c r="G40" s="12" t="s">
        <v>86</v>
      </c>
      <c r="H40" s="12" t="s">
        <v>872</v>
      </c>
      <c r="I40" s="12" t="s">
        <v>994</v>
      </c>
      <c r="J40" s="13"/>
    </row>
    <row r="41" spans="1:10" ht="45">
      <c r="A41" s="17" t="s">
        <v>995</v>
      </c>
      <c r="B41" s="12" t="s">
        <v>978</v>
      </c>
      <c r="C41" s="12" t="s">
        <v>996</v>
      </c>
      <c r="D41" s="12" t="s">
        <v>915</v>
      </c>
      <c r="E41" s="12"/>
      <c r="F41" s="12" t="s">
        <v>792</v>
      </c>
      <c r="G41" s="12" t="s">
        <v>86</v>
      </c>
      <c r="H41" s="12" t="s">
        <v>872</v>
      </c>
      <c r="I41" s="12" t="s">
        <v>997</v>
      </c>
      <c r="J41" s="13"/>
    </row>
    <row r="42" spans="1:10" ht="45">
      <c r="A42" s="17" t="s">
        <v>998</v>
      </c>
      <c r="B42" s="12" t="s">
        <v>978</v>
      </c>
      <c r="C42" s="12" t="s">
        <v>999</v>
      </c>
      <c r="D42" s="12" t="s">
        <v>1000</v>
      </c>
      <c r="E42" s="12" t="s">
        <v>1001</v>
      </c>
      <c r="F42" s="12" t="s">
        <v>1002</v>
      </c>
      <c r="G42" s="12" t="s">
        <v>142</v>
      </c>
      <c r="H42" s="12" t="s">
        <v>1003</v>
      </c>
      <c r="I42" s="12" t="s">
        <v>1004</v>
      </c>
      <c r="J42" s="13"/>
    </row>
    <row r="43" spans="1:10" ht="16">
      <c r="A43" s="17" t="s">
        <v>1005</v>
      </c>
      <c r="B43" s="12" t="s">
        <v>978</v>
      </c>
      <c r="C43" s="12" t="s">
        <v>1006</v>
      </c>
      <c r="D43" s="12" t="s">
        <v>1007</v>
      </c>
      <c r="E43" s="12"/>
      <c r="F43" s="12" t="s">
        <v>635</v>
      </c>
      <c r="G43" s="12" t="s">
        <v>86</v>
      </c>
      <c r="H43" s="12" t="s">
        <v>872</v>
      </c>
      <c r="I43" s="12" t="s">
        <v>143</v>
      </c>
      <c r="J43" s="13"/>
    </row>
    <row r="44" spans="1:10" ht="30">
      <c r="A44" s="17" t="s">
        <v>1008</v>
      </c>
      <c r="B44" s="12" t="s">
        <v>1009</v>
      </c>
      <c r="C44" s="12" t="s">
        <v>1010</v>
      </c>
      <c r="D44" s="12" t="s">
        <v>1011</v>
      </c>
      <c r="E44" s="12" t="s">
        <v>1012</v>
      </c>
      <c r="F44" s="12" t="s">
        <v>1013</v>
      </c>
      <c r="G44" s="12" t="s">
        <v>86</v>
      </c>
      <c r="H44" s="12" t="s">
        <v>1014</v>
      </c>
      <c r="I44" s="12" t="s">
        <v>303</v>
      </c>
      <c r="J44" s="13"/>
    </row>
    <row r="45" spans="1:10" ht="30">
      <c r="A45" s="17" t="s">
        <v>1015</v>
      </c>
      <c r="B45" s="12" t="s">
        <v>1009</v>
      </c>
      <c r="C45" s="12" t="s">
        <v>1016</v>
      </c>
      <c r="D45" s="12" t="s">
        <v>915</v>
      </c>
      <c r="E45" s="12" t="s">
        <v>1017</v>
      </c>
      <c r="F45" s="12" t="s">
        <v>602</v>
      </c>
      <c r="G45" s="12" t="s">
        <v>28</v>
      </c>
      <c r="H45" s="12" t="s">
        <v>872</v>
      </c>
      <c r="I45" s="12" t="s">
        <v>603</v>
      </c>
      <c r="J45" s="13"/>
    </row>
    <row r="46" spans="1:10" ht="30">
      <c r="A46" s="17" t="s">
        <v>1018</v>
      </c>
      <c r="B46" s="12" t="s">
        <v>1009</v>
      </c>
      <c r="C46" s="12" t="s">
        <v>1019</v>
      </c>
      <c r="D46" s="12" t="s">
        <v>850</v>
      </c>
      <c r="E46" s="12" t="s">
        <v>1020</v>
      </c>
      <c r="F46" s="12" t="s">
        <v>1021</v>
      </c>
      <c r="G46" s="12" t="s">
        <v>852</v>
      </c>
      <c r="H46" s="12" t="s">
        <v>853</v>
      </c>
      <c r="I46" s="12" t="s">
        <v>214</v>
      </c>
      <c r="J46" s="13"/>
    </row>
    <row r="47" spans="1:10" ht="30">
      <c r="A47" s="17" t="s">
        <v>1022</v>
      </c>
      <c r="B47" s="12" t="s">
        <v>1009</v>
      </c>
      <c r="C47" s="12" t="s">
        <v>1023</v>
      </c>
      <c r="D47" s="12" t="s">
        <v>1024</v>
      </c>
      <c r="E47" s="12" t="s">
        <v>1025</v>
      </c>
      <c r="F47" s="12" t="s">
        <v>1021</v>
      </c>
      <c r="G47" s="12" t="s">
        <v>852</v>
      </c>
      <c r="H47" s="12" t="s">
        <v>853</v>
      </c>
      <c r="I47" s="12" t="s">
        <v>214</v>
      </c>
      <c r="J47" s="13"/>
    </row>
    <row r="48" spans="1:10" ht="30">
      <c r="A48" s="17" t="s">
        <v>1026</v>
      </c>
      <c r="B48" s="12" t="s">
        <v>1009</v>
      </c>
      <c r="C48" s="12" t="s">
        <v>1027</v>
      </c>
      <c r="D48" s="12" t="s">
        <v>975</v>
      </c>
      <c r="E48" s="12" t="s">
        <v>1028</v>
      </c>
      <c r="F48" s="12" t="s">
        <v>374</v>
      </c>
      <c r="G48" s="12" t="s">
        <v>852</v>
      </c>
      <c r="H48" s="12" t="s">
        <v>853</v>
      </c>
      <c r="I48" s="12" t="s">
        <v>1029</v>
      </c>
      <c r="J48" s="13"/>
    </row>
    <row r="49" spans="1:10" ht="16">
      <c r="A49" s="17" t="s">
        <v>1030</v>
      </c>
      <c r="B49" s="12" t="s">
        <v>1009</v>
      </c>
      <c r="C49" s="12" t="s">
        <v>1031</v>
      </c>
      <c r="D49" s="12" t="s">
        <v>1032</v>
      </c>
      <c r="E49" s="12"/>
      <c r="F49" s="12" t="s">
        <v>1033</v>
      </c>
      <c r="G49" s="12" t="s">
        <v>28</v>
      </c>
      <c r="H49" s="12" t="s">
        <v>182</v>
      </c>
      <c r="I49" s="12" t="s">
        <v>173</v>
      </c>
      <c r="J49" s="13"/>
    </row>
    <row r="50" spans="1:10" ht="30">
      <c r="A50" s="17" t="s">
        <v>1034</v>
      </c>
      <c r="B50" s="12" t="s">
        <v>1035</v>
      </c>
      <c r="C50" s="12" t="s">
        <v>1036</v>
      </c>
      <c r="D50" s="12" t="s">
        <v>1037</v>
      </c>
      <c r="E50" s="12" t="s">
        <v>1038</v>
      </c>
      <c r="F50" s="12" t="s">
        <v>1039</v>
      </c>
      <c r="G50" s="12" t="s">
        <v>28</v>
      </c>
      <c r="H50" s="12" t="s">
        <v>853</v>
      </c>
      <c r="I50" s="12" t="s">
        <v>607</v>
      </c>
      <c r="J50" s="13"/>
    </row>
    <row r="51" spans="1:10" ht="30">
      <c r="A51" s="17" t="s">
        <v>1040</v>
      </c>
      <c r="B51" s="12" t="s">
        <v>1041</v>
      </c>
      <c r="C51" s="12" t="s">
        <v>1042</v>
      </c>
      <c r="D51" s="12" t="s">
        <v>1043</v>
      </c>
      <c r="E51" s="12" t="s">
        <v>1044</v>
      </c>
      <c r="F51" s="12" t="s">
        <v>1045</v>
      </c>
      <c r="G51" s="12" t="s">
        <v>28</v>
      </c>
      <c r="H51" s="12" t="s">
        <v>853</v>
      </c>
      <c r="I51" s="12" t="s">
        <v>620</v>
      </c>
      <c r="J51" s="13"/>
    </row>
    <row r="52" spans="1:10" ht="30">
      <c r="A52" s="17" t="s">
        <v>1046</v>
      </c>
      <c r="B52" s="12" t="s">
        <v>1041</v>
      </c>
      <c r="C52" s="12" t="s">
        <v>1047</v>
      </c>
      <c r="D52" s="12" t="s">
        <v>959</v>
      </c>
      <c r="E52" s="12"/>
      <c r="F52" s="12" t="s">
        <v>1048</v>
      </c>
      <c r="G52" s="12" t="s">
        <v>28</v>
      </c>
      <c r="H52" s="12" t="s">
        <v>872</v>
      </c>
      <c r="I52" s="12" t="s">
        <v>1049</v>
      </c>
      <c r="J52" s="13"/>
    </row>
    <row r="53" spans="1:10" ht="30">
      <c r="A53" s="17" t="s">
        <v>1050</v>
      </c>
      <c r="B53" s="12" t="s">
        <v>1051</v>
      </c>
      <c r="C53" s="12" t="s">
        <v>1052</v>
      </c>
      <c r="D53" s="12" t="s">
        <v>1053</v>
      </c>
      <c r="E53" s="12"/>
      <c r="F53" s="12" t="s">
        <v>302</v>
      </c>
      <c r="G53" s="12" t="s">
        <v>86</v>
      </c>
      <c r="H53" s="12" t="s">
        <v>853</v>
      </c>
      <c r="I53" s="12" t="s">
        <v>1054</v>
      </c>
      <c r="J53" s="13"/>
    </row>
    <row r="54" spans="1:10" ht="30">
      <c r="A54" s="17" t="s">
        <v>1055</v>
      </c>
      <c r="B54" s="12" t="s">
        <v>1051</v>
      </c>
      <c r="C54" s="12" t="s">
        <v>1056</v>
      </c>
      <c r="D54" s="12" t="s">
        <v>1057</v>
      </c>
      <c r="E54" s="12"/>
      <c r="F54" s="12" t="s">
        <v>1058</v>
      </c>
      <c r="G54" s="12" t="s">
        <v>28</v>
      </c>
      <c r="H54" s="12" t="s">
        <v>872</v>
      </c>
      <c r="I54" s="12" t="s">
        <v>241</v>
      </c>
      <c r="J54" s="13"/>
    </row>
    <row r="55" spans="1:10" ht="16">
      <c r="A55" s="17" t="s">
        <v>1059</v>
      </c>
      <c r="B55" s="12" t="s">
        <v>1051</v>
      </c>
      <c r="C55" s="12" t="s">
        <v>1060</v>
      </c>
      <c r="D55" s="12" t="s">
        <v>850</v>
      </c>
      <c r="E55" s="12"/>
      <c r="F55" s="12" t="s">
        <v>497</v>
      </c>
      <c r="G55" s="12" t="s">
        <v>28</v>
      </c>
      <c r="H55" s="12" t="s">
        <v>182</v>
      </c>
      <c r="I55" s="12" t="s">
        <v>241</v>
      </c>
      <c r="J55" s="13"/>
    </row>
    <row r="56" spans="1:10" ht="30">
      <c r="A56" s="17" t="s">
        <v>1061</v>
      </c>
      <c r="B56" s="12" t="s">
        <v>1051</v>
      </c>
      <c r="C56" s="12" t="s">
        <v>1062</v>
      </c>
      <c r="D56" s="12" t="s">
        <v>864</v>
      </c>
      <c r="E56" s="12"/>
      <c r="F56" s="12" t="s">
        <v>993</v>
      </c>
      <c r="G56" s="12" t="s">
        <v>86</v>
      </c>
      <c r="H56" s="12" t="s">
        <v>872</v>
      </c>
      <c r="I56" s="12" t="s">
        <v>241</v>
      </c>
      <c r="J56" s="13"/>
    </row>
    <row r="57" spans="1:10" ht="45">
      <c r="A57" s="17" t="s">
        <v>1063</v>
      </c>
      <c r="B57" s="12" t="s">
        <v>1051</v>
      </c>
      <c r="C57" s="12" t="s">
        <v>1064</v>
      </c>
      <c r="D57" s="12" t="s">
        <v>1065</v>
      </c>
      <c r="E57" s="12" t="s">
        <v>1066</v>
      </c>
      <c r="F57" s="12" t="s">
        <v>1067</v>
      </c>
      <c r="G57" s="12" t="s">
        <v>86</v>
      </c>
      <c r="H57" s="12" t="s">
        <v>1068</v>
      </c>
      <c r="I57" s="12" t="s">
        <v>1069</v>
      </c>
      <c r="J57" s="13"/>
    </row>
    <row r="58" spans="1:10" ht="30">
      <c r="A58" s="17" t="s">
        <v>1070</v>
      </c>
      <c r="B58" s="12" t="s">
        <v>1051</v>
      </c>
      <c r="C58" s="12" t="s">
        <v>1071</v>
      </c>
      <c r="D58" s="12" t="s">
        <v>1072</v>
      </c>
      <c r="E58" s="12" t="s">
        <v>1073</v>
      </c>
      <c r="F58" s="12" t="s">
        <v>460</v>
      </c>
      <c r="G58" s="12" t="s">
        <v>86</v>
      </c>
      <c r="H58" s="12" t="s">
        <v>182</v>
      </c>
      <c r="I58" s="12" t="s">
        <v>1074</v>
      </c>
      <c r="J58" s="13"/>
    </row>
    <row r="59" spans="1:10" ht="30">
      <c r="A59" s="17" t="s">
        <v>1075</v>
      </c>
      <c r="B59" s="12" t="s">
        <v>1051</v>
      </c>
      <c r="C59" s="12" t="s">
        <v>1076</v>
      </c>
      <c r="D59" s="12" t="s">
        <v>1072</v>
      </c>
      <c r="E59" s="12" t="s">
        <v>1077</v>
      </c>
      <c r="F59" s="12" t="s">
        <v>460</v>
      </c>
      <c r="G59" s="12" t="s">
        <v>142</v>
      </c>
      <c r="H59" s="12" t="s">
        <v>182</v>
      </c>
      <c r="I59" s="12" t="s">
        <v>473</v>
      </c>
      <c r="J59" s="13"/>
    </row>
    <row r="60" spans="1:10" ht="30">
      <c r="A60" s="17" t="s">
        <v>1078</v>
      </c>
      <c r="B60" s="12" t="s">
        <v>1079</v>
      </c>
      <c r="C60" s="12" t="s">
        <v>1080</v>
      </c>
      <c r="D60" s="12" t="s">
        <v>864</v>
      </c>
      <c r="E60" s="12" t="s">
        <v>1081</v>
      </c>
      <c r="F60" s="12" t="s">
        <v>1082</v>
      </c>
      <c r="G60" s="12" t="s">
        <v>86</v>
      </c>
      <c r="H60" s="12" t="s">
        <v>872</v>
      </c>
      <c r="I60" s="12" t="s">
        <v>1083</v>
      </c>
      <c r="J60" s="13"/>
    </row>
    <row r="61" spans="1:10" ht="30">
      <c r="A61" s="17" t="s">
        <v>1084</v>
      </c>
      <c r="B61" s="12" t="s">
        <v>1079</v>
      </c>
      <c r="C61" s="12" t="s">
        <v>1085</v>
      </c>
      <c r="D61" s="12" t="s">
        <v>915</v>
      </c>
      <c r="E61" s="12"/>
      <c r="F61" s="12" t="s">
        <v>1086</v>
      </c>
      <c r="G61" s="12" t="s">
        <v>28</v>
      </c>
      <c r="H61" s="12" t="s">
        <v>872</v>
      </c>
      <c r="I61" s="12" t="s">
        <v>1087</v>
      </c>
      <c r="J61" s="13"/>
    </row>
    <row r="62" spans="1:10" ht="30">
      <c r="A62" s="17" t="s">
        <v>1088</v>
      </c>
      <c r="B62" s="12" t="s">
        <v>1089</v>
      </c>
      <c r="C62" s="12" t="s">
        <v>1090</v>
      </c>
      <c r="D62" s="12" t="s">
        <v>1091</v>
      </c>
      <c r="E62" s="12"/>
      <c r="F62" s="12" t="s">
        <v>1092</v>
      </c>
      <c r="G62" s="12" t="s">
        <v>28</v>
      </c>
      <c r="H62" s="12" t="s">
        <v>872</v>
      </c>
      <c r="I62" s="12" t="s">
        <v>121</v>
      </c>
      <c r="J62" s="13"/>
    </row>
    <row r="63" spans="1:10" ht="30">
      <c r="A63" s="17" t="s">
        <v>1093</v>
      </c>
      <c r="B63" s="12" t="s">
        <v>1089</v>
      </c>
      <c r="C63" s="12" t="s">
        <v>1094</v>
      </c>
      <c r="D63" s="12" t="s">
        <v>864</v>
      </c>
      <c r="E63" s="12" t="s">
        <v>541</v>
      </c>
      <c r="F63" s="12" t="s">
        <v>1092</v>
      </c>
      <c r="G63" s="12" t="s">
        <v>86</v>
      </c>
      <c r="H63" s="12" t="s">
        <v>872</v>
      </c>
      <c r="I63" s="12" t="s">
        <v>451</v>
      </c>
      <c r="J63" s="13"/>
    </row>
    <row r="64" spans="1:10" ht="30">
      <c r="A64" s="17" t="s">
        <v>1095</v>
      </c>
      <c r="B64" s="12" t="s">
        <v>1096</v>
      </c>
      <c r="C64" s="12" t="s">
        <v>1097</v>
      </c>
      <c r="D64" s="12" t="s">
        <v>1011</v>
      </c>
      <c r="E64" s="12"/>
      <c r="F64" s="12" t="s">
        <v>697</v>
      </c>
      <c r="G64" s="12" t="s">
        <v>28</v>
      </c>
      <c r="H64" s="12" t="s">
        <v>872</v>
      </c>
      <c r="I64" s="12" t="s">
        <v>1098</v>
      </c>
      <c r="J64" s="13"/>
    </row>
    <row r="65" spans="1:10" ht="30">
      <c r="A65" s="17" t="s">
        <v>1099</v>
      </c>
      <c r="B65" s="12" t="s">
        <v>1100</v>
      </c>
      <c r="C65" s="12" t="s">
        <v>1101</v>
      </c>
      <c r="D65" s="12" t="s">
        <v>871</v>
      </c>
      <c r="E65" s="12" t="s">
        <v>1102</v>
      </c>
      <c r="F65" s="12" t="s">
        <v>643</v>
      </c>
      <c r="G65" s="12" t="s">
        <v>86</v>
      </c>
      <c r="H65" s="12" t="s">
        <v>853</v>
      </c>
      <c r="I65" s="12" t="s">
        <v>303</v>
      </c>
      <c r="J65" s="13"/>
    </row>
    <row r="66" spans="1:10" ht="30">
      <c r="A66" s="17" t="s">
        <v>1103</v>
      </c>
      <c r="B66" s="12" t="s">
        <v>1100</v>
      </c>
      <c r="C66" s="12" t="s">
        <v>1104</v>
      </c>
      <c r="D66" s="12" t="s">
        <v>959</v>
      </c>
      <c r="E66" s="12"/>
      <c r="F66" s="12" t="s">
        <v>643</v>
      </c>
      <c r="G66" s="12" t="s">
        <v>86</v>
      </c>
      <c r="H66" s="12" t="s">
        <v>921</v>
      </c>
      <c r="I66" s="12" t="s">
        <v>1105</v>
      </c>
      <c r="J66" s="13"/>
    </row>
    <row r="67" spans="1:10" ht="30">
      <c r="A67" s="17" t="s">
        <v>1106</v>
      </c>
      <c r="B67" s="12" t="s">
        <v>1100</v>
      </c>
      <c r="C67" s="12" t="s">
        <v>1107</v>
      </c>
      <c r="D67" s="12" t="s">
        <v>915</v>
      </c>
      <c r="E67" s="12"/>
      <c r="F67" s="12" t="s">
        <v>1108</v>
      </c>
      <c r="G67" s="12" t="s">
        <v>86</v>
      </c>
      <c r="H67" s="12" t="s">
        <v>872</v>
      </c>
      <c r="I67" s="12" t="s">
        <v>1087</v>
      </c>
      <c r="J67" s="13"/>
    </row>
    <row r="68" spans="1:10" ht="45">
      <c r="A68" s="17" t="s">
        <v>1109</v>
      </c>
      <c r="B68" s="12" t="s">
        <v>1100</v>
      </c>
      <c r="C68" s="12" t="s">
        <v>1110</v>
      </c>
      <c r="D68" s="12" t="s">
        <v>1111</v>
      </c>
      <c r="E68" s="12"/>
      <c r="F68" s="12" t="s">
        <v>650</v>
      </c>
      <c r="G68" s="12" t="s">
        <v>86</v>
      </c>
      <c r="H68" s="12" t="s">
        <v>853</v>
      </c>
      <c r="I68" s="12" t="s">
        <v>1112</v>
      </c>
      <c r="J68" s="13"/>
    </row>
    <row r="69" spans="1:10" ht="30">
      <c r="A69" s="17" t="s">
        <v>1113</v>
      </c>
      <c r="B69" s="12" t="s">
        <v>1100</v>
      </c>
      <c r="C69" s="12" t="s">
        <v>1114</v>
      </c>
      <c r="D69" s="12" t="s">
        <v>864</v>
      </c>
      <c r="E69" s="12" t="s">
        <v>1115</v>
      </c>
      <c r="F69" s="12" t="s">
        <v>650</v>
      </c>
      <c r="G69" s="12" t="s">
        <v>86</v>
      </c>
      <c r="H69" s="12" t="s">
        <v>872</v>
      </c>
      <c r="I69" s="12" t="s">
        <v>121</v>
      </c>
      <c r="J69" s="13"/>
    </row>
    <row r="70" spans="1:10" ht="30">
      <c r="A70" s="17" t="s">
        <v>1116</v>
      </c>
      <c r="B70" s="12" t="s">
        <v>1100</v>
      </c>
      <c r="C70" s="12" t="s">
        <v>1117</v>
      </c>
      <c r="D70" s="12" t="s">
        <v>1118</v>
      </c>
      <c r="E70" s="12" t="s">
        <v>434</v>
      </c>
      <c r="F70" s="12" t="s">
        <v>1119</v>
      </c>
      <c r="G70" s="12" t="s">
        <v>28</v>
      </c>
      <c r="H70" s="12" t="s">
        <v>1003</v>
      </c>
      <c r="I70" s="12" t="s">
        <v>1120</v>
      </c>
      <c r="J70" s="13"/>
    </row>
    <row r="71" spans="1:10" ht="30">
      <c r="A71" s="17" t="s">
        <v>1121</v>
      </c>
      <c r="B71" s="12" t="s">
        <v>1100</v>
      </c>
      <c r="C71" s="12" t="s">
        <v>1122</v>
      </c>
      <c r="D71" s="12" t="s">
        <v>915</v>
      </c>
      <c r="E71" s="12" t="s">
        <v>1123</v>
      </c>
      <c r="F71" s="12" t="s">
        <v>650</v>
      </c>
      <c r="G71" s="12" t="s">
        <v>142</v>
      </c>
      <c r="H71" s="12" t="s">
        <v>1124</v>
      </c>
      <c r="I71" s="12" t="s">
        <v>143</v>
      </c>
      <c r="J71" s="13"/>
    </row>
    <row r="72" spans="1:10" ht="30">
      <c r="A72" s="17" t="s">
        <v>1125</v>
      </c>
      <c r="B72" s="12" t="s">
        <v>1126</v>
      </c>
      <c r="C72" s="12" t="s">
        <v>1127</v>
      </c>
      <c r="D72" s="12" t="s">
        <v>864</v>
      </c>
      <c r="E72" s="12" t="s">
        <v>1128</v>
      </c>
      <c r="F72" s="12" t="s">
        <v>685</v>
      </c>
      <c r="G72" s="12" t="s">
        <v>86</v>
      </c>
      <c r="H72" s="12" t="s">
        <v>872</v>
      </c>
      <c r="I72" s="12" t="s">
        <v>455</v>
      </c>
      <c r="J72" s="13"/>
    </row>
    <row r="73" spans="1:10" ht="16">
      <c r="A73" s="17" t="s">
        <v>1129</v>
      </c>
      <c r="B73" s="12" t="s">
        <v>1130</v>
      </c>
      <c r="C73" s="12" t="s">
        <v>1131</v>
      </c>
      <c r="D73" s="12" t="s">
        <v>1132</v>
      </c>
      <c r="E73" s="12" t="s">
        <v>1133</v>
      </c>
      <c r="F73" s="12" t="s">
        <v>707</v>
      </c>
      <c r="G73" s="12" t="s">
        <v>28</v>
      </c>
      <c r="H73" s="12" t="s">
        <v>872</v>
      </c>
      <c r="I73" s="12" t="s">
        <v>241</v>
      </c>
      <c r="J73" s="13"/>
    </row>
    <row r="74" spans="1:10" ht="30">
      <c r="A74" s="17" t="s">
        <v>1134</v>
      </c>
      <c r="B74" s="12" t="s">
        <v>1135</v>
      </c>
      <c r="C74" s="12" t="s">
        <v>1136</v>
      </c>
      <c r="D74" s="12" t="s">
        <v>1137</v>
      </c>
      <c r="E74" s="12" t="s">
        <v>1138</v>
      </c>
      <c r="F74" s="12" t="s">
        <v>1139</v>
      </c>
      <c r="G74" s="12" t="s">
        <v>28</v>
      </c>
      <c r="H74" s="12" t="s">
        <v>872</v>
      </c>
      <c r="I74" s="12" t="s">
        <v>241</v>
      </c>
      <c r="J74" s="13"/>
    </row>
    <row r="75" spans="1:10" ht="16">
      <c r="A75" s="17" t="s">
        <v>1140</v>
      </c>
      <c r="B75" s="12" t="s">
        <v>1141</v>
      </c>
      <c r="C75" s="12" t="s">
        <v>1142</v>
      </c>
      <c r="D75" s="12" t="s">
        <v>975</v>
      </c>
      <c r="E75" s="12" t="s">
        <v>1143</v>
      </c>
      <c r="F75" s="12" t="s">
        <v>1144</v>
      </c>
      <c r="G75" s="12" t="s">
        <v>852</v>
      </c>
      <c r="H75" s="12" t="s">
        <v>182</v>
      </c>
      <c r="I75" s="12" t="s">
        <v>241</v>
      </c>
      <c r="J75" s="13"/>
    </row>
    <row r="76" spans="1:10" ht="16">
      <c r="A76" s="17" t="s">
        <v>1145</v>
      </c>
      <c r="B76" s="12" t="s">
        <v>1146</v>
      </c>
      <c r="C76" s="12" t="s">
        <v>1147</v>
      </c>
      <c r="D76" s="12" t="s">
        <v>1072</v>
      </c>
      <c r="E76" s="12" t="s">
        <v>1148</v>
      </c>
      <c r="F76" s="12" t="s">
        <v>1149</v>
      </c>
      <c r="G76" s="12" t="s">
        <v>86</v>
      </c>
      <c r="H76" s="12" t="s">
        <v>182</v>
      </c>
      <c r="I76" s="12" t="s">
        <v>392</v>
      </c>
      <c r="J76" s="13"/>
    </row>
    <row r="77" spans="1:10" ht="45">
      <c r="A77" s="17" t="s">
        <v>1150</v>
      </c>
      <c r="B77" s="12" t="s">
        <v>1151</v>
      </c>
      <c r="C77" s="12" t="s">
        <v>1152</v>
      </c>
      <c r="D77" s="12" t="s">
        <v>1153</v>
      </c>
      <c r="E77" s="12"/>
      <c r="F77" s="12" t="s">
        <v>435</v>
      </c>
      <c r="G77" s="12" t="s">
        <v>86</v>
      </c>
      <c r="H77" s="12" t="s">
        <v>1154</v>
      </c>
      <c r="I77" s="12" t="s">
        <v>1155</v>
      </c>
      <c r="J77" s="13"/>
    </row>
    <row r="78" spans="1:10" ht="30">
      <c r="A78" s="17" t="s">
        <v>1156</v>
      </c>
      <c r="B78" s="12" t="s">
        <v>1151</v>
      </c>
      <c r="C78" s="12" t="s">
        <v>1157</v>
      </c>
      <c r="D78" s="12" t="s">
        <v>1158</v>
      </c>
      <c r="E78" s="12"/>
      <c r="F78" s="12" t="s">
        <v>1159</v>
      </c>
      <c r="G78" s="12" t="s">
        <v>852</v>
      </c>
      <c r="H78" s="12" t="s">
        <v>951</v>
      </c>
      <c r="I78" s="12" t="s">
        <v>214</v>
      </c>
      <c r="J78" s="13"/>
    </row>
    <row r="79" spans="1:10" ht="30">
      <c r="A79" s="17" t="s">
        <v>1160</v>
      </c>
      <c r="B79" s="12" t="s">
        <v>1151</v>
      </c>
      <c r="C79" s="12" t="s">
        <v>1161</v>
      </c>
      <c r="D79" s="12" t="s">
        <v>1162</v>
      </c>
      <c r="E79" s="12" t="s">
        <v>1163</v>
      </c>
      <c r="F79" s="12" t="s">
        <v>1164</v>
      </c>
      <c r="G79" s="12" t="s">
        <v>28</v>
      </c>
      <c r="H79" s="12" t="s">
        <v>1003</v>
      </c>
      <c r="I79" s="12" t="s">
        <v>445</v>
      </c>
      <c r="J79" s="13"/>
    </row>
    <row r="80" spans="1:10" ht="30">
      <c r="A80" s="17" t="s">
        <v>1165</v>
      </c>
      <c r="B80" s="12" t="s">
        <v>1151</v>
      </c>
      <c r="C80" s="12" t="s">
        <v>1166</v>
      </c>
      <c r="D80" s="12" t="s">
        <v>1053</v>
      </c>
      <c r="E80" s="12"/>
      <c r="F80" s="12" t="s">
        <v>1167</v>
      </c>
      <c r="G80" s="12" t="s">
        <v>142</v>
      </c>
      <c r="H80" s="12" t="s">
        <v>872</v>
      </c>
      <c r="I80" s="12" t="s">
        <v>1168</v>
      </c>
      <c r="J80" s="13"/>
    </row>
    <row r="81" spans="1:10" ht="30">
      <c r="A81" s="17" t="s">
        <v>1169</v>
      </c>
      <c r="B81" s="12" t="s">
        <v>1170</v>
      </c>
      <c r="C81" s="12" t="s">
        <v>1171</v>
      </c>
      <c r="D81" s="12" t="s">
        <v>1072</v>
      </c>
      <c r="E81" s="12" t="s">
        <v>1172</v>
      </c>
      <c r="F81" s="12" t="s">
        <v>635</v>
      </c>
      <c r="G81" s="12" t="s">
        <v>86</v>
      </c>
      <c r="H81" s="12" t="s">
        <v>182</v>
      </c>
      <c r="I81" s="12" t="s">
        <v>408</v>
      </c>
      <c r="J81" s="13"/>
    </row>
    <row r="82" spans="1:10" ht="30">
      <c r="A82" s="17" t="s">
        <v>1173</v>
      </c>
      <c r="B82" s="12" t="s">
        <v>1170</v>
      </c>
      <c r="C82" s="12" t="s">
        <v>1174</v>
      </c>
      <c r="D82" s="12" t="s">
        <v>1072</v>
      </c>
      <c r="E82" s="12" t="s">
        <v>434</v>
      </c>
      <c r="F82" s="12" t="s">
        <v>1175</v>
      </c>
      <c r="G82" s="12" t="s">
        <v>142</v>
      </c>
      <c r="H82" s="12" t="s">
        <v>1003</v>
      </c>
      <c r="I82" s="12" t="s">
        <v>294</v>
      </c>
      <c r="J82" s="13"/>
    </row>
    <row r="83" spans="1:10" ht="30">
      <c r="A83" s="17" t="s">
        <v>1176</v>
      </c>
      <c r="B83" s="12" t="s">
        <v>789</v>
      </c>
      <c r="C83" s="12" t="s">
        <v>1177</v>
      </c>
      <c r="D83" s="12" t="s">
        <v>1178</v>
      </c>
      <c r="E83" s="12"/>
      <c r="F83" s="12" t="s">
        <v>792</v>
      </c>
      <c r="G83" s="12" t="s">
        <v>86</v>
      </c>
      <c r="H83" s="12" t="s">
        <v>1179</v>
      </c>
      <c r="I83" s="12" t="s">
        <v>173</v>
      </c>
      <c r="J83" s="13"/>
    </row>
    <row r="84" spans="1:10" ht="30">
      <c r="A84" s="17" t="s">
        <v>1180</v>
      </c>
      <c r="B84" s="12" t="s">
        <v>789</v>
      </c>
      <c r="C84" s="12" t="s">
        <v>1181</v>
      </c>
      <c r="D84" s="12" t="s">
        <v>1182</v>
      </c>
      <c r="E84" s="12"/>
      <c r="F84" s="12" t="s">
        <v>792</v>
      </c>
      <c r="G84" s="12" t="s">
        <v>86</v>
      </c>
      <c r="H84" s="12" t="s">
        <v>853</v>
      </c>
      <c r="I84" s="12" t="s">
        <v>143</v>
      </c>
      <c r="J84" s="13"/>
    </row>
    <row r="85" spans="1:10" ht="30">
      <c r="A85" s="17" t="s">
        <v>1183</v>
      </c>
      <c r="B85" s="12" t="s">
        <v>789</v>
      </c>
      <c r="C85" s="12" t="s">
        <v>1184</v>
      </c>
      <c r="D85" s="12" t="s">
        <v>1185</v>
      </c>
      <c r="E85" s="12" t="s">
        <v>906</v>
      </c>
      <c r="F85" s="12" t="s">
        <v>172</v>
      </c>
      <c r="G85" s="12" t="s">
        <v>86</v>
      </c>
      <c r="H85" s="12" t="s">
        <v>88</v>
      </c>
      <c r="I85" s="12" t="s">
        <v>173</v>
      </c>
      <c r="J85" s="13"/>
    </row>
    <row r="86" spans="1:10" ht="16">
      <c r="A86" s="17" t="s">
        <v>1186</v>
      </c>
      <c r="B86" s="12" t="s">
        <v>789</v>
      </c>
      <c r="C86" s="12" t="s">
        <v>1187</v>
      </c>
      <c r="D86" s="12" t="s">
        <v>1188</v>
      </c>
      <c r="E86" s="12"/>
      <c r="F86" s="12" t="s">
        <v>811</v>
      </c>
      <c r="G86" s="12" t="s">
        <v>852</v>
      </c>
      <c r="H86" s="12" t="s">
        <v>853</v>
      </c>
      <c r="I86" s="12" t="s">
        <v>549</v>
      </c>
      <c r="J86" s="13"/>
    </row>
    <row r="87" spans="1:10" ht="30">
      <c r="A87" s="17" t="s">
        <v>1189</v>
      </c>
      <c r="B87" s="12" t="s">
        <v>789</v>
      </c>
      <c r="C87" s="12" t="s">
        <v>1190</v>
      </c>
      <c r="D87" s="12" t="s">
        <v>1191</v>
      </c>
      <c r="E87" s="12" t="s">
        <v>1192</v>
      </c>
      <c r="F87" s="12" t="s">
        <v>102</v>
      </c>
      <c r="G87" s="12" t="s">
        <v>852</v>
      </c>
      <c r="H87" s="12" t="s">
        <v>88</v>
      </c>
      <c r="I87" s="12" t="s">
        <v>108</v>
      </c>
      <c r="J87" s="13"/>
    </row>
    <row r="88" spans="1:10" ht="30">
      <c r="A88" s="17" t="s">
        <v>1193</v>
      </c>
      <c r="B88" s="12" t="s">
        <v>789</v>
      </c>
      <c r="C88" s="12" t="s">
        <v>1194</v>
      </c>
      <c r="D88" s="12" t="s">
        <v>1195</v>
      </c>
      <c r="E88" s="12"/>
      <c r="F88" s="12" t="s">
        <v>87</v>
      </c>
      <c r="G88" s="12" t="s">
        <v>86</v>
      </c>
      <c r="H88" s="12" t="s">
        <v>88</v>
      </c>
      <c r="I88" s="12" t="s">
        <v>828</v>
      </c>
      <c r="J88" s="13"/>
    </row>
    <row r="89" spans="1:10" ht="45">
      <c r="A89" s="18" t="s">
        <v>1196</v>
      </c>
      <c r="B89" s="14" t="s">
        <v>789</v>
      </c>
      <c r="C89" s="14" t="s">
        <v>1197</v>
      </c>
      <c r="D89" s="14" t="s">
        <v>850</v>
      </c>
      <c r="E89" s="14" t="s">
        <v>1198</v>
      </c>
      <c r="F89" s="14" t="s">
        <v>1199</v>
      </c>
      <c r="G89" s="14" t="s">
        <v>852</v>
      </c>
      <c r="H89" s="14" t="s">
        <v>1179</v>
      </c>
      <c r="I89" s="14" t="s">
        <v>234</v>
      </c>
      <c r="J89" s="15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zoomScale="130" zoomScaleNormal="130" workbookViewId="0">
      <selection activeCell="H5" sqref="H5"/>
    </sheetView>
  </sheetViews>
  <sheetFormatPr baseColWidth="10" defaultColWidth="8.83203125" defaultRowHeight="14"/>
  <cols>
    <col min="1" max="1" width="10" customWidth="1"/>
    <col min="2" max="2" width="40" customWidth="1"/>
    <col min="3" max="4" width="20" customWidth="1"/>
    <col min="5" max="5" width="32" customWidth="1"/>
    <col min="6" max="6" width="18" customWidth="1"/>
    <col min="7" max="7" width="42" customWidth="1"/>
    <col min="8" max="8" width="52" customWidth="1"/>
  </cols>
  <sheetData>
    <row r="1" spans="1:8" ht="37.25" customHeight="1">
      <c r="A1" s="20" t="s">
        <v>1200</v>
      </c>
      <c r="B1" s="20"/>
      <c r="C1" s="20"/>
      <c r="D1" s="20"/>
      <c r="E1" s="20"/>
      <c r="F1" s="20"/>
      <c r="G1" s="20"/>
      <c r="H1" s="20"/>
    </row>
    <row r="3" spans="1:8" ht="45.25" customHeight="1">
      <c r="A3" s="1" t="s">
        <v>1201</v>
      </c>
      <c r="B3" s="2" t="s">
        <v>1202</v>
      </c>
      <c r="C3" s="2" t="s">
        <v>1203</v>
      </c>
      <c r="D3" s="2" t="s">
        <v>1204</v>
      </c>
      <c r="E3" s="2" t="s">
        <v>1205</v>
      </c>
      <c r="F3" s="2" t="s">
        <v>1206</v>
      </c>
      <c r="G3" s="2" t="s">
        <v>80</v>
      </c>
      <c r="H3" s="3" t="s">
        <v>1207</v>
      </c>
    </row>
    <row r="4" spans="1:8" ht="16">
      <c r="A4" s="16" t="s">
        <v>1208</v>
      </c>
      <c r="B4" s="10" t="s">
        <v>1209</v>
      </c>
      <c r="C4" s="10" t="s">
        <v>1210</v>
      </c>
      <c r="D4" s="10" t="s">
        <v>1211</v>
      </c>
      <c r="E4" s="10" t="s">
        <v>811</v>
      </c>
      <c r="F4" s="10" t="s">
        <v>852</v>
      </c>
      <c r="G4" s="10" t="s">
        <v>173</v>
      </c>
      <c r="H4" s="11" t="s">
        <v>1212</v>
      </c>
    </row>
    <row r="5" spans="1:8" ht="16">
      <c r="A5" s="17" t="s">
        <v>1213</v>
      </c>
      <c r="B5" s="12" t="s">
        <v>1214</v>
      </c>
      <c r="C5" s="12" t="s">
        <v>185</v>
      </c>
      <c r="D5" s="12" t="s">
        <v>1215</v>
      </c>
      <c r="E5" s="12" t="s">
        <v>1216</v>
      </c>
      <c r="F5" s="12" t="s">
        <v>182</v>
      </c>
      <c r="G5" s="12" t="s">
        <v>173</v>
      </c>
      <c r="H5" s="13" t="s">
        <v>1217</v>
      </c>
    </row>
    <row r="6" spans="1:8" ht="30">
      <c r="A6" s="17" t="s">
        <v>1218</v>
      </c>
      <c r="B6" s="12" t="s">
        <v>1219</v>
      </c>
      <c r="C6" s="12" t="s">
        <v>185</v>
      </c>
      <c r="D6" s="12" t="s">
        <v>1215</v>
      </c>
      <c r="E6" s="12" t="s">
        <v>86</v>
      </c>
      <c r="F6" s="12" t="s">
        <v>852</v>
      </c>
      <c r="G6" s="12" t="s">
        <v>982</v>
      </c>
      <c r="H6" s="13" t="s">
        <v>1220</v>
      </c>
    </row>
    <row r="7" spans="1:8" ht="30">
      <c r="A7" s="17" t="s">
        <v>1221</v>
      </c>
      <c r="B7" s="12" t="s">
        <v>1222</v>
      </c>
      <c r="C7" s="12" t="s">
        <v>185</v>
      </c>
      <c r="D7" s="12" t="s">
        <v>1215</v>
      </c>
      <c r="E7" s="12" t="s">
        <v>86</v>
      </c>
      <c r="F7" s="12" t="s">
        <v>182</v>
      </c>
      <c r="G7" s="12" t="s">
        <v>255</v>
      </c>
      <c r="H7" s="13" t="s">
        <v>1223</v>
      </c>
    </row>
    <row r="8" spans="1:8" ht="90">
      <c r="A8" s="17" t="s">
        <v>1224</v>
      </c>
      <c r="B8" s="12" t="s">
        <v>1225</v>
      </c>
      <c r="C8" s="12" t="s">
        <v>185</v>
      </c>
      <c r="D8" s="12" t="s">
        <v>1215</v>
      </c>
      <c r="E8" s="12" t="s">
        <v>86</v>
      </c>
      <c r="F8" s="12" t="s">
        <v>182</v>
      </c>
      <c r="G8" s="12" t="s">
        <v>89</v>
      </c>
      <c r="H8" s="13" t="s">
        <v>1226</v>
      </c>
    </row>
    <row r="9" spans="1:8" ht="16">
      <c r="A9" s="17" t="s">
        <v>1227</v>
      </c>
      <c r="B9" s="12" t="s">
        <v>1228</v>
      </c>
      <c r="C9" s="12" t="s">
        <v>1229</v>
      </c>
      <c r="D9" s="12" t="s">
        <v>1215</v>
      </c>
      <c r="E9" s="12" t="s">
        <v>1230</v>
      </c>
      <c r="F9" s="12" t="s">
        <v>182</v>
      </c>
      <c r="G9" s="12" t="s">
        <v>516</v>
      </c>
      <c r="H9" s="13" t="s">
        <v>1231</v>
      </c>
    </row>
    <row r="10" spans="1:8" ht="30">
      <c r="A10" s="17" t="s">
        <v>1232</v>
      </c>
      <c r="B10" s="12" t="s">
        <v>1233</v>
      </c>
      <c r="C10" s="12" t="s">
        <v>1234</v>
      </c>
      <c r="D10" s="12" t="s">
        <v>1215</v>
      </c>
      <c r="E10" s="12" t="s">
        <v>1235</v>
      </c>
      <c r="F10" s="12" t="s">
        <v>852</v>
      </c>
      <c r="G10" s="12" t="s">
        <v>1236</v>
      </c>
      <c r="H10" s="13" t="s">
        <v>1237</v>
      </c>
    </row>
    <row r="11" spans="1:8" ht="45">
      <c r="A11" s="17" t="s">
        <v>1238</v>
      </c>
      <c r="B11" s="12" t="s">
        <v>1239</v>
      </c>
      <c r="C11" s="12" t="s">
        <v>1234</v>
      </c>
      <c r="D11" s="12" t="s">
        <v>1240</v>
      </c>
      <c r="E11" s="12" t="s">
        <v>363</v>
      </c>
      <c r="F11" s="12" t="s">
        <v>852</v>
      </c>
      <c r="G11" s="12" t="s">
        <v>1241</v>
      </c>
      <c r="H11" s="13" t="s">
        <v>1242</v>
      </c>
    </row>
    <row r="12" spans="1:8" ht="30">
      <c r="A12" s="17" t="s">
        <v>1243</v>
      </c>
      <c r="B12" s="12" t="s">
        <v>1244</v>
      </c>
      <c r="C12" s="12" t="s">
        <v>185</v>
      </c>
      <c r="D12" s="12" t="s">
        <v>951</v>
      </c>
      <c r="E12" s="12" t="s">
        <v>1245</v>
      </c>
      <c r="F12" s="12" t="s">
        <v>852</v>
      </c>
      <c r="G12" s="12" t="s">
        <v>1029</v>
      </c>
      <c r="H12" s="13" t="s">
        <v>1246</v>
      </c>
    </row>
    <row r="13" spans="1:8" ht="30">
      <c r="A13" s="17" t="s">
        <v>1247</v>
      </c>
      <c r="B13" s="12" t="s">
        <v>1248</v>
      </c>
      <c r="C13" s="12" t="s">
        <v>185</v>
      </c>
      <c r="D13" s="12" t="s">
        <v>1249</v>
      </c>
      <c r="E13" s="12" t="s">
        <v>1250</v>
      </c>
      <c r="F13" s="12" t="s">
        <v>852</v>
      </c>
      <c r="G13" s="12" t="s">
        <v>1251</v>
      </c>
      <c r="H13" s="13" t="s">
        <v>1252</v>
      </c>
    </row>
    <row r="14" spans="1:8" ht="30">
      <c r="A14" s="17" t="s">
        <v>1253</v>
      </c>
      <c r="B14" s="12" t="s">
        <v>1254</v>
      </c>
      <c r="C14" s="12" t="s">
        <v>185</v>
      </c>
      <c r="D14" s="12" t="s">
        <v>1249</v>
      </c>
      <c r="E14" s="12" t="s">
        <v>1255</v>
      </c>
      <c r="F14" s="12" t="s">
        <v>852</v>
      </c>
      <c r="G14" s="12" t="s">
        <v>1251</v>
      </c>
      <c r="H14" s="13" t="s">
        <v>1256</v>
      </c>
    </row>
    <row r="15" spans="1:8" ht="16">
      <c r="A15" s="17" t="s">
        <v>1257</v>
      </c>
      <c r="B15" s="12" t="s">
        <v>1258</v>
      </c>
      <c r="C15" s="12" t="s">
        <v>185</v>
      </c>
      <c r="D15" s="12" t="s">
        <v>1259</v>
      </c>
      <c r="E15" s="12" t="s">
        <v>1260</v>
      </c>
      <c r="F15" s="12" t="s">
        <v>852</v>
      </c>
      <c r="G15" s="12" t="s">
        <v>214</v>
      </c>
      <c r="H15" s="13" t="s">
        <v>1261</v>
      </c>
    </row>
    <row r="16" spans="1:8" ht="16">
      <c r="A16" s="17" t="s">
        <v>1262</v>
      </c>
      <c r="B16" s="12" t="s">
        <v>1263</v>
      </c>
      <c r="C16" s="12" t="s">
        <v>1264</v>
      </c>
      <c r="D16" s="12" t="s">
        <v>1240</v>
      </c>
      <c r="E16" s="12" t="s">
        <v>811</v>
      </c>
      <c r="F16" s="12" t="s">
        <v>852</v>
      </c>
      <c r="G16" s="12" t="s">
        <v>214</v>
      </c>
      <c r="H16" s="13" t="s">
        <v>1265</v>
      </c>
    </row>
    <row r="17" spans="1:8" ht="16">
      <c r="A17" s="17" t="s">
        <v>1266</v>
      </c>
      <c r="B17" s="12" t="s">
        <v>1267</v>
      </c>
      <c r="C17" s="12" t="s">
        <v>1268</v>
      </c>
      <c r="D17" s="12" t="s">
        <v>1269</v>
      </c>
      <c r="E17" s="12" t="s">
        <v>378</v>
      </c>
      <c r="F17" s="12" t="s">
        <v>182</v>
      </c>
      <c r="G17" s="12" t="s">
        <v>1270</v>
      </c>
      <c r="H17" s="13" t="s">
        <v>1271</v>
      </c>
    </row>
    <row r="18" spans="1:8" ht="30">
      <c r="A18" s="17" t="s">
        <v>1272</v>
      </c>
      <c r="B18" s="12" t="s">
        <v>1273</v>
      </c>
      <c r="C18" s="12" t="s">
        <v>1274</v>
      </c>
      <c r="D18" s="12" t="s">
        <v>951</v>
      </c>
      <c r="E18" s="12" t="s">
        <v>1275</v>
      </c>
      <c r="F18" s="12" t="s">
        <v>182</v>
      </c>
      <c r="G18" s="12" t="s">
        <v>417</v>
      </c>
      <c r="H18" s="13" t="s">
        <v>1276</v>
      </c>
    </row>
    <row r="19" spans="1:8" ht="30">
      <c r="A19" s="17" t="s">
        <v>1277</v>
      </c>
      <c r="B19" s="12" t="s">
        <v>1278</v>
      </c>
      <c r="C19" s="12" t="s">
        <v>1279</v>
      </c>
      <c r="D19" s="12" t="s">
        <v>1215</v>
      </c>
      <c r="E19" s="12" t="s">
        <v>1280</v>
      </c>
      <c r="F19" s="12" t="s">
        <v>1281</v>
      </c>
      <c r="G19" s="12" t="s">
        <v>1282</v>
      </c>
      <c r="H19" s="13" t="s">
        <v>1283</v>
      </c>
    </row>
    <row r="20" spans="1:8" ht="30">
      <c r="A20" s="17" t="s">
        <v>1284</v>
      </c>
      <c r="B20" s="12" t="s">
        <v>1285</v>
      </c>
      <c r="C20" s="12" t="s">
        <v>1279</v>
      </c>
      <c r="D20" s="12" t="s">
        <v>1240</v>
      </c>
      <c r="E20" s="12" t="s">
        <v>1286</v>
      </c>
      <c r="F20" s="12" t="s">
        <v>1281</v>
      </c>
      <c r="G20" s="12" t="s">
        <v>1287</v>
      </c>
      <c r="H20" s="13" t="s">
        <v>1288</v>
      </c>
    </row>
    <row r="21" spans="1:8" ht="16">
      <c r="A21" s="17" t="s">
        <v>1289</v>
      </c>
      <c r="B21" s="12" t="s">
        <v>1290</v>
      </c>
      <c r="C21" s="12" t="s">
        <v>1291</v>
      </c>
      <c r="D21" s="12" t="s">
        <v>1292</v>
      </c>
      <c r="E21" s="12" t="s">
        <v>1293</v>
      </c>
      <c r="F21" s="12" t="s">
        <v>182</v>
      </c>
      <c r="G21" s="12" t="s">
        <v>1294</v>
      </c>
      <c r="H21" s="13" t="s">
        <v>1295</v>
      </c>
    </row>
    <row r="22" spans="1:8" ht="30">
      <c r="A22" s="17" t="s">
        <v>1296</v>
      </c>
      <c r="B22" s="12" t="s">
        <v>1297</v>
      </c>
      <c r="C22" s="12" t="s">
        <v>1298</v>
      </c>
      <c r="D22" s="12" t="s">
        <v>951</v>
      </c>
      <c r="E22" s="12" t="s">
        <v>1299</v>
      </c>
      <c r="F22" s="12" t="s">
        <v>852</v>
      </c>
      <c r="G22" s="12" t="s">
        <v>986</v>
      </c>
      <c r="H22" s="13" t="s">
        <v>1300</v>
      </c>
    </row>
    <row r="23" spans="1:8" ht="30">
      <c r="A23" s="17" t="s">
        <v>1301</v>
      </c>
      <c r="B23" s="12" t="s">
        <v>1302</v>
      </c>
      <c r="C23" s="12" t="s">
        <v>1303</v>
      </c>
      <c r="D23" s="12" t="s">
        <v>1304</v>
      </c>
      <c r="E23" s="12" t="s">
        <v>1305</v>
      </c>
      <c r="F23" s="12" t="s">
        <v>182</v>
      </c>
      <c r="G23" s="12" t="s">
        <v>1306</v>
      </c>
      <c r="H23" s="13" t="s">
        <v>1307</v>
      </c>
    </row>
    <row r="24" spans="1:8" ht="30">
      <c r="A24" s="17" t="s">
        <v>1308</v>
      </c>
      <c r="B24" s="12" t="s">
        <v>1309</v>
      </c>
      <c r="C24" s="12" t="s">
        <v>1310</v>
      </c>
      <c r="D24" s="12" t="s">
        <v>1304</v>
      </c>
      <c r="E24" s="12" t="s">
        <v>1311</v>
      </c>
      <c r="F24" s="12" t="s">
        <v>182</v>
      </c>
      <c r="G24" s="12" t="s">
        <v>1312</v>
      </c>
      <c r="H24" s="13" t="s">
        <v>1313</v>
      </c>
    </row>
    <row r="25" spans="1:8" ht="30">
      <c r="A25" s="17" t="s">
        <v>1314</v>
      </c>
      <c r="B25" s="12" t="s">
        <v>1315</v>
      </c>
      <c r="C25" s="12" t="s">
        <v>1316</v>
      </c>
      <c r="D25" s="12" t="s">
        <v>1317</v>
      </c>
      <c r="E25" s="12" t="s">
        <v>650</v>
      </c>
      <c r="F25" s="12" t="s">
        <v>1318</v>
      </c>
      <c r="G25" s="12" t="s">
        <v>1319</v>
      </c>
      <c r="H25" s="13" t="s">
        <v>1320</v>
      </c>
    </row>
    <row r="26" spans="1:8" ht="30">
      <c r="A26" s="17" t="s">
        <v>1321</v>
      </c>
      <c r="B26" s="12" t="s">
        <v>1322</v>
      </c>
      <c r="C26" s="12" t="s">
        <v>1323</v>
      </c>
      <c r="D26" s="12" t="s">
        <v>1304</v>
      </c>
      <c r="E26" s="12" t="s">
        <v>1324</v>
      </c>
      <c r="F26" s="12" t="s">
        <v>182</v>
      </c>
      <c r="G26" s="12" t="s">
        <v>603</v>
      </c>
      <c r="H26" s="13" t="s">
        <v>1325</v>
      </c>
    </row>
    <row r="27" spans="1:8" ht="30">
      <c r="A27" s="17" t="s">
        <v>1326</v>
      </c>
      <c r="B27" s="12" t="s">
        <v>1327</v>
      </c>
      <c r="C27" s="12" t="s">
        <v>1328</v>
      </c>
      <c r="D27" s="12" t="s">
        <v>951</v>
      </c>
      <c r="E27" s="12" t="s">
        <v>1329</v>
      </c>
      <c r="F27" s="12" t="s">
        <v>182</v>
      </c>
      <c r="G27" s="12" t="s">
        <v>277</v>
      </c>
      <c r="H27" s="13" t="s">
        <v>1330</v>
      </c>
    </row>
    <row r="28" spans="1:8" ht="90">
      <c r="A28" s="17" t="s">
        <v>1331</v>
      </c>
      <c r="B28" s="12" t="s">
        <v>1332</v>
      </c>
      <c r="C28" s="12" t="s">
        <v>1333</v>
      </c>
      <c r="D28" s="12" t="s">
        <v>1334</v>
      </c>
      <c r="E28" s="12" t="s">
        <v>1335</v>
      </c>
      <c r="F28" s="12" t="s">
        <v>852</v>
      </c>
      <c r="G28" s="12" t="s">
        <v>89</v>
      </c>
      <c r="H28" s="13" t="s">
        <v>1336</v>
      </c>
    </row>
    <row r="29" spans="1:8" ht="16">
      <c r="A29" s="17" t="s">
        <v>1337</v>
      </c>
      <c r="B29" s="12" t="s">
        <v>1338</v>
      </c>
      <c r="C29" s="12" t="s">
        <v>185</v>
      </c>
      <c r="D29" s="12" t="s">
        <v>1240</v>
      </c>
      <c r="E29" s="12" t="s">
        <v>142</v>
      </c>
      <c r="F29" s="12" t="s">
        <v>182</v>
      </c>
      <c r="G29" s="12" t="s">
        <v>143</v>
      </c>
      <c r="H29" s="13" t="s">
        <v>1339</v>
      </c>
    </row>
    <row r="30" spans="1:8" ht="30">
      <c r="A30" s="17" t="s">
        <v>1340</v>
      </c>
      <c r="B30" s="12" t="s">
        <v>1341</v>
      </c>
      <c r="C30" s="12" t="s">
        <v>1342</v>
      </c>
      <c r="D30" s="12" t="s">
        <v>1240</v>
      </c>
      <c r="E30" s="12" t="s">
        <v>1343</v>
      </c>
      <c r="F30" s="12" t="s">
        <v>182</v>
      </c>
      <c r="G30" s="12" t="s">
        <v>108</v>
      </c>
      <c r="H30" s="13" t="s">
        <v>1344</v>
      </c>
    </row>
    <row r="31" spans="1:8" ht="16">
      <c r="A31" s="18" t="s">
        <v>1345</v>
      </c>
      <c r="B31" s="14" t="s">
        <v>1346</v>
      </c>
      <c r="C31" s="14" t="s">
        <v>1210</v>
      </c>
      <c r="D31" s="14" t="s">
        <v>789</v>
      </c>
      <c r="E31" s="14" t="s">
        <v>811</v>
      </c>
      <c r="F31" s="14" t="s">
        <v>182</v>
      </c>
      <c r="G31" s="14" t="s">
        <v>549</v>
      </c>
      <c r="H31" s="15" t="s">
        <v>1347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"/>
  <sheetViews>
    <sheetView workbookViewId="0">
      <selection sqref="A1:D1"/>
    </sheetView>
  </sheetViews>
  <sheetFormatPr baseColWidth="10" defaultColWidth="8.83203125" defaultRowHeight="14"/>
  <cols>
    <col min="1" max="1" width="30" customWidth="1"/>
    <col min="2" max="2" width="26" customWidth="1"/>
    <col min="3" max="3" width="68" customWidth="1"/>
    <col min="4" max="4" width="58" customWidth="1"/>
  </cols>
  <sheetData>
    <row r="1" spans="1:4" ht="37.25" customHeight="1">
      <c r="A1" s="20" t="s">
        <v>1348</v>
      </c>
      <c r="B1" s="20"/>
      <c r="C1" s="20"/>
      <c r="D1" s="20"/>
    </row>
    <row r="3" spans="1:4" ht="45.25" customHeight="1">
      <c r="A3" s="1" t="s">
        <v>1349</v>
      </c>
      <c r="B3" s="2" t="s">
        <v>1350</v>
      </c>
      <c r="C3" s="2" t="s">
        <v>1351</v>
      </c>
      <c r="D3" s="3" t="s">
        <v>1352</v>
      </c>
    </row>
    <row r="4" spans="1:4" ht="30">
      <c r="A4" s="16" t="s">
        <v>549</v>
      </c>
      <c r="B4" s="10" t="s">
        <v>1353</v>
      </c>
      <c r="C4" s="10" t="s">
        <v>1354</v>
      </c>
      <c r="D4" s="11" t="s">
        <v>1355</v>
      </c>
    </row>
    <row r="5" spans="1:4" ht="30">
      <c r="A5" s="17" t="s">
        <v>549</v>
      </c>
      <c r="B5" s="12" t="s">
        <v>1356</v>
      </c>
      <c r="C5" s="12" t="s">
        <v>1357</v>
      </c>
      <c r="D5" s="13" t="s">
        <v>1358</v>
      </c>
    </row>
    <row r="6" spans="1:4" ht="30">
      <c r="A6" s="17" t="s">
        <v>549</v>
      </c>
      <c r="B6" s="12" t="s">
        <v>1359</v>
      </c>
      <c r="C6" s="12" t="s">
        <v>1360</v>
      </c>
      <c r="D6" s="13" t="s">
        <v>1361</v>
      </c>
    </row>
    <row r="7" spans="1:4" ht="30">
      <c r="A7" s="17" t="s">
        <v>241</v>
      </c>
      <c r="B7" s="12" t="s">
        <v>1362</v>
      </c>
      <c r="C7" s="12" t="s">
        <v>1363</v>
      </c>
      <c r="D7" s="13" t="s">
        <v>1364</v>
      </c>
    </row>
    <row r="8" spans="1:4" ht="30">
      <c r="A8" s="17" t="s">
        <v>241</v>
      </c>
      <c r="B8" s="12" t="s">
        <v>1365</v>
      </c>
      <c r="C8" s="12" t="s">
        <v>1366</v>
      </c>
      <c r="D8" s="13" t="s">
        <v>1367</v>
      </c>
    </row>
    <row r="9" spans="1:4" ht="30">
      <c r="A9" s="17" t="s">
        <v>241</v>
      </c>
      <c r="B9" s="12" t="s">
        <v>1368</v>
      </c>
      <c r="C9" s="12" t="s">
        <v>1369</v>
      </c>
      <c r="D9" s="13" t="s">
        <v>1370</v>
      </c>
    </row>
    <row r="10" spans="1:4" ht="32">
      <c r="A10" s="17" t="s">
        <v>1371</v>
      </c>
      <c r="B10" s="12" t="s">
        <v>1372</v>
      </c>
      <c r="C10" s="12" t="s">
        <v>1373</v>
      </c>
      <c r="D10" s="13" t="s">
        <v>1374</v>
      </c>
    </row>
    <row r="11" spans="1:4" ht="30">
      <c r="A11" s="17" t="s">
        <v>392</v>
      </c>
      <c r="B11" s="12" t="s">
        <v>1375</v>
      </c>
      <c r="C11" s="12" t="s">
        <v>1376</v>
      </c>
      <c r="D11" s="13" t="s">
        <v>1377</v>
      </c>
    </row>
    <row r="12" spans="1:4" ht="30">
      <c r="A12" s="17" t="s">
        <v>133</v>
      </c>
      <c r="B12" s="12" t="s">
        <v>1378</v>
      </c>
      <c r="C12" s="12" t="s">
        <v>1379</v>
      </c>
      <c r="D12" s="13" t="s">
        <v>1380</v>
      </c>
    </row>
    <row r="13" spans="1:4" ht="30">
      <c r="A13" s="17" t="s">
        <v>173</v>
      </c>
      <c r="B13" s="12" t="s">
        <v>1381</v>
      </c>
      <c r="C13" s="12" t="s">
        <v>1382</v>
      </c>
      <c r="D13" s="13" t="s">
        <v>1383</v>
      </c>
    </row>
    <row r="14" spans="1:4" ht="30">
      <c r="A14" s="17" t="s">
        <v>173</v>
      </c>
      <c r="B14" s="12" t="s">
        <v>1384</v>
      </c>
      <c r="C14" s="12" t="s">
        <v>1385</v>
      </c>
      <c r="D14" s="13" t="s">
        <v>1386</v>
      </c>
    </row>
    <row r="15" spans="1:4" ht="16">
      <c r="A15" s="17" t="s">
        <v>445</v>
      </c>
      <c r="B15" s="12" t="s">
        <v>1387</v>
      </c>
      <c r="C15" s="12" t="s">
        <v>1388</v>
      </c>
      <c r="D15" s="13" t="s">
        <v>1389</v>
      </c>
    </row>
    <row r="16" spans="1:4" ht="30">
      <c r="A16" s="17" t="s">
        <v>445</v>
      </c>
      <c r="B16" s="12" t="s">
        <v>1390</v>
      </c>
      <c r="C16" s="12" t="s">
        <v>1391</v>
      </c>
      <c r="D16" s="13" t="s">
        <v>1392</v>
      </c>
    </row>
    <row r="17" spans="1:4" ht="30">
      <c r="A17" s="17" t="s">
        <v>267</v>
      </c>
      <c r="B17" s="12" t="s">
        <v>1393</v>
      </c>
      <c r="C17" s="12" t="s">
        <v>1394</v>
      </c>
      <c r="D17" s="13" t="s">
        <v>1395</v>
      </c>
    </row>
    <row r="18" spans="1:4" ht="30">
      <c r="A18" s="17" t="s">
        <v>228</v>
      </c>
      <c r="B18" s="12" t="s">
        <v>1396</v>
      </c>
      <c r="C18" s="12" t="s">
        <v>1397</v>
      </c>
      <c r="D18" s="13" t="s">
        <v>1398</v>
      </c>
    </row>
    <row r="19" spans="1:4" ht="30">
      <c r="A19" s="17" t="s">
        <v>228</v>
      </c>
      <c r="B19" s="12" t="s">
        <v>1399</v>
      </c>
      <c r="C19" s="12" t="s">
        <v>1400</v>
      </c>
      <c r="D19" s="13" t="s">
        <v>1401</v>
      </c>
    </row>
    <row r="20" spans="1:4" ht="30">
      <c r="A20" s="17" t="s">
        <v>228</v>
      </c>
      <c r="B20" s="12" t="s">
        <v>1402</v>
      </c>
      <c r="C20" s="12" t="s">
        <v>1403</v>
      </c>
      <c r="D20" s="13" t="s">
        <v>1404</v>
      </c>
    </row>
    <row r="21" spans="1:4" ht="30">
      <c r="A21" s="17" t="s">
        <v>121</v>
      </c>
      <c r="B21" s="12" t="s">
        <v>1405</v>
      </c>
      <c r="C21" s="12" t="s">
        <v>1406</v>
      </c>
      <c r="D21" s="13" t="s">
        <v>1407</v>
      </c>
    </row>
    <row r="22" spans="1:4" ht="30">
      <c r="A22" s="17" t="s">
        <v>121</v>
      </c>
      <c r="B22" s="12" t="s">
        <v>1408</v>
      </c>
      <c r="C22" s="12" t="s">
        <v>1409</v>
      </c>
      <c r="D22" s="13" t="s">
        <v>1410</v>
      </c>
    </row>
    <row r="23" spans="1:4" ht="30">
      <c r="A23" s="18" t="s">
        <v>294</v>
      </c>
      <c r="B23" s="14" t="s">
        <v>1411</v>
      </c>
      <c r="C23" s="14" t="s">
        <v>1412</v>
      </c>
      <c r="D23" s="15" t="s">
        <v>1413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4"/>
  <sheetViews>
    <sheetView workbookViewId="0">
      <selection sqref="A1:C1"/>
    </sheetView>
  </sheetViews>
  <sheetFormatPr baseColWidth="10" defaultColWidth="8.83203125" defaultRowHeight="14"/>
  <cols>
    <col min="1" max="2" width="28" customWidth="1"/>
    <col min="3" max="3" width="62" customWidth="1"/>
  </cols>
  <sheetData>
    <row r="1" spans="1:3" ht="37.25" customHeight="1">
      <c r="A1" s="20" t="s">
        <v>1414</v>
      </c>
      <c r="B1" s="20"/>
      <c r="C1" s="20"/>
    </row>
    <row r="3" spans="1:3" ht="45.25" customHeight="1">
      <c r="A3" s="1" t="s">
        <v>1415</v>
      </c>
      <c r="B3" s="2" t="s">
        <v>1416</v>
      </c>
      <c r="C3" s="3" t="s">
        <v>1417</v>
      </c>
    </row>
    <row r="4" spans="1:3" ht="16">
      <c r="A4" s="16" t="s">
        <v>1418</v>
      </c>
      <c r="B4" s="10" t="s">
        <v>1419</v>
      </c>
      <c r="C4" s="11" t="s">
        <v>1420</v>
      </c>
    </row>
    <row r="5" spans="1:3" ht="16">
      <c r="A5" s="17" t="s">
        <v>1418</v>
      </c>
      <c r="B5" s="12" t="s">
        <v>1421</v>
      </c>
      <c r="C5" s="13" t="s">
        <v>1422</v>
      </c>
    </row>
    <row r="6" spans="1:3" ht="16">
      <c r="A6" s="17" t="s">
        <v>1418</v>
      </c>
      <c r="B6" s="12" t="s">
        <v>1423</v>
      </c>
      <c r="C6" s="13" t="s">
        <v>1424</v>
      </c>
    </row>
    <row r="7" spans="1:3" ht="16">
      <c r="A7" s="17" t="s">
        <v>1418</v>
      </c>
      <c r="B7" s="12" t="s">
        <v>1425</v>
      </c>
      <c r="C7" s="13" t="s">
        <v>1426</v>
      </c>
    </row>
    <row r="8" spans="1:3" ht="16">
      <c r="A8" s="17" t="s">
        <v>1418</v>
      </c>
      <c r="B8" s="12" t="s">
        <v>1427</v>
      </c>
      <c r="C8" s="13" t="s">
        <v>1428</v>
      </c>
    </row>
    <row r="9" spans="1:3" ht="16">
      <c r="A9" s="17" t="s">
        <v>1418</v>
      </c>
      <c r="B9" s="12" t="s">
        <v>1429</v>
      </c>
      <c r="C9" s="13" t="s">
        <v>1430</v>
      </c>
    </row>
    <row r="10" spans="1:3" ht="16">
      <c r="A10" s="17" t="s">
        <v>1431</v>
      </c>
      <c r="B10" s="12" t="s">
        <v>1432</v>
      </c>
      <c r="C10" s="13" t="s">
        <v>1433</v>
      </c>
    </row>
    <row r="11" spans="1:3" ht="16">
      <c r="A11" s="17" t="s">
        <v>1431</v>
      </c>
      <c r="B11" s="12" t="s">
        <v>1434</v>
      </c>
      <c r="C11" s="13" t="s">
        <v>1435</v>
      </c>
    </row>
    <row r="12" spans="1:3" ht="16">
      <c r="A12" s="17" t="s">
        <v>1431</v>
      </c>
      <c r="B12" s="12" t="s">
        <v>1436</v>
      </c>
      <c r="C12" s="13" t="s">
        <v>1437</v>
      </c>
    </row>
    <row r="13" spans="1:3" ht="16">
      <c r="A13" s="17" t="s">
        <v>1431</v>
      </c>
      <c r="B13" s="12" t="s">
        <v>1438</v>
      </c>
      <c r="C13" s="13" t="s">
        <v>1439</v>
      </c>
    </row>
    <row r="14" spans="1:3" ht="16">
      <c r="A14" s="17" t="s">
        <v>1431</v>
      </c>
      <c r="B14" s="12" t="s">
        <v>1440</v>
      </c>
      <c r="C14" s="13" t="s">
        <v>1441</v>
      </c>
    </row>
    <row r="15" spans="1:3" ht="16">
      <c r="A15" s="17" t="s">
        <v>1442</v>
      </c>
      <c r="B15" s="12" t="s">
        <v>1443</v>
      </c>
      <c r="C15" s="13" t="s">
        <v>1444</v>
      </c>
    </row>
    <row r="16" spans="1:3" ht="16">
      <c r="A16" s="17" t="s">
        <v>1442</v>
      </c>
      <c r="B16" s="12" t="s">
        <v>1445</v>
      </c>
      <c r="C16" s="13" t="s">
        <v>1446</v>
      </c>
    </row>
    <row r="17" spans="1:3" ht="16">
      <c r="A17" s="17" t="s">
        <v>1442</v>
      </c>
      <c r="B17" s="12" t="s">
        <v>1447</v>
      </c>
      <c r="C17" s="13" t="s">
        <v>1448</v>
      </c>
    </row>
    <row r="18" spans="1:3" ht="16">
      <c r="A18" s="17" t="s">
        <v>1442</v>
      </c>
      <c r="B18" s="12" t="s">
        <v>1449</v>
      </c>
      <c r="C18" s="13" t="s">
        <v>1450</v>
      </c>
    </row>
    <row r="19" spans="1:3" ht="16">
      <c r="A19" s="17" t="s">
        <v>1451</v>
      </c>
      <c r="B19" s="12" t="s">
        <v>1452</v>
      </c>
      <c r="C19" s="13" t="s">
        <v>1453</v>
      </c>
    </row>
    <row r="20" spans="1:3" ht="16">
      <c r="A20" s="17" t="s">
        <v>1451</v>
      </c>
      <c r="B20" s="12" t="s">
        <v>1421</v>
      </c>
      <c r="C20" s="13" t="s">
        <v>1454</v>
      </c>
    </row>
    <row r="21" spans="1:3" ht="16">
      <c r="A21" s="17" t="s">
        <v>1451</v>
      </c>
      <c r="B21" s="12" t="s">
        <v>1455</v>
      </c>
      <c r="C21" s="13" t="s">
        <v>1456</v>
      </c>
    </row>
    <row r="22" spans="1:3" ht="16">
      <c r="A22" s="17" t="s">
        <v>1451</v>
      </c>
      <c r="B22" s="12" t="s">
        <v>1457</v>
      </c>
      <c r="C22" s="13" t="s">
        <v>1458</v>
      </c>
    </row>
    <row r="23" spans="1:3" ht="16">
      <c r="A23" s="17" t="s">
        <v>1459</v>
      </c>
      <c r="B23" s="12" t="s">
        <v>1460</v>
      </c>
      <c r="C23" s="13" t="s">
        <v>1461</v>
      </c>
    </row>
    <row r="24" spans="1:3" ht="16">
      <c r="A24" s="17" t="s">
        <v>1459</v>
      </c>
      <c r="B24" s="12" t="s">
        <v>1462</v>
      </c>
      <c r="C24" s="13" t="s">
        <v>1463</v>
      </c>
    </row>
    <row r="25" spans="1:3" ht="16">
      <c r="A25" s="17" t="s">
        <v>1459</v>
      </c>
      <c r="B25" s="12" t="s">
        <v>1464</v>
      </c>
      <c r="C25" s="13" t="s">
        <v>1465</v>
      </c>
    </row>
    <row r="26" spans="1:3" ht="16">
      <c r="A26" s="17" t="s">
        <v>1459</v>
      </c>
      <c r="B26" s="12" t="s">
        <v>1096</v>
      </c>
      <c r="C26" s="13" t="s">
        <v>1466</v>
      </c>
    </row>
    <row r="27" spans="1:3" ht="16">
      <c r="A27" s="17" t="s">
        <v>1459</v>
      </c>
      <c r="B27" s="12" t="s">
        <v>1467</v>
      </c>
      <c r="C27" s="13" t="s">
        <v>1468</v>
      </c>
    </row>
    <row r="28" spans="1:3" ht="16">
      <c r="A28" s="17" t="s">
        <v>1459</v>
      </c>
      <c r="B28" s="12" t="s">
        <v>1469</v>
      </c>
      <c r="C28" s="13" t="s">
        <v>1470</v>
      </c>
    </row>
    <row r="29" spans="1:3" ht="16">
      <c r="A29" s="17" t="s">
        <v>1459</v>
      </c>
      <c r="B29" s="12" t="s">
        <v>1471</v>
      </c>
      <c r="C29" s="13" t="s">
        <v>1472</v>
      </c>
    </row>
    <row r="30" spans="1:3" ht="16">
      <c r="A30" s="17" t="s">
        <v>1459</v>
      </c>
      <c r="B30" s="12" t="s">
        <v>1473</v>
      </c>
      <c r="C30" s="13" t="s">
        <v>1474</v>
      </c>
    </row>
    <row r="31" spans="1:3" ht="16">
      <c r="A31" s="17" t="s">
        <v>1459</v>
      </c>
      <c r="B31" s="12" t="s">
        <v>1475</v>
      </c>
      <c r="C31" s="13" t="s">
        <v>1476</v>
      </c>
    </row>
    <row r="32" spans="1:3" ht="16">
      <c r="A32" s="17" t="s">
        <v>1459</v>
      </c>
      <c r="B32" s="12" t="s">
        <v>1477</v>
      </c>
      <c r="C32" s="13" t="s">
        <v>1478</v>
      </c>
    </row>
    <row r="33" spans="1:3" ht="16">
      <c r="A33" s="17" t="s">
        <v>1459</v>
      </c>
      <c r="B33" s="12" t="s">
        <v>1051</v>
      </c>
      <c r="C33" s="13" t="s">
        <v>1479</v>
      </c>
    </row>
    <row r="34" spans="1:3" ht="16">
      <c r="A34" s="17" t="s">
        <v>1459</v>
      </c>
      <c r="B34" s="12" t="s">
        <v>1480</v>
      </c>
      <c r="C34" s="13" t="s">
        <v>1481</v>
      </c>
    </row>
    <row r="35" spans="1:3" ht="16">
      <c r="A35" s="17" t="s">
        <v>1482</v>
      </c>
      <c r="B35" s="12" t="s">
        <v>1483</v>
      </c>
      <c r="C35" s="13" t="s">
        <v>1484</v>
      </c>
    </row>
    <row r="36" spans="1:3" ht="16">
      <c r="A36" s="17" t="s">
        <v>1482</v>
      </c>
      <c r="B36" s="12" t="s">
        <v>1485</v>
      </c>
      <c r="C36" s="13" t="s">
        <v>1486</v>
      </c>
    </row>
    <row r="37" spans="1:3" ht="16">
      <c r="A37" s="17" t="s">
        <v>1482</v>
      </c>
      <c r="B37" s="12" t="s">
        <v>1096</v>
      </c>
      <c r="C37" s="13" t="s">
        <v>1487</v>
      </c>
    </row>
    <row r="38" spans="1:3" ht="16">
      <c r="A38" s="17" t="s">
        <v>1482</v>
      </c>
      <c r="B38" s="12" t="s">
        <v>1488</v>
      </c>
      <c r="C38" s="13" t="s">
        <v>1489</v>
      </c>
    </row>
    <row r="39" spans="1:3" ht="16">
      <c r="A39" s="17" t="s">
        <v>1482</v>
      </c>
      <c r="B39" s="12" t="s">
        <v>1490</v>
      </c>
      <c r="C39" s="13" t="s">
        <v>1491</v>
      </c>
    </row>
    <row r="40" spans="1:3" ht="16">
      <c r="A40" s="17" t="s">
        <v>1482</v>
      </c>
      <c r="B40" s="12" t="s">
        <v>1443</v>
      </c>
      <c r="C40" s="13" t="s">
        <v>1492</v>
      </c>
    </row>
    <row r="41" spans="1:3" ht="16">
      <c r="A41" s="17" t="s">
        <v>1493</v>
      </c>
      <c r="B41" s="12" t="s">
        <v>1494</v>
      </c>
      <c r="C41" s="13" t="s">
        <v>1495</v>
      </c>
    </row>
    <row r="42" spans="1:3" ht="16">
      <c r="A42" s="17" t="s">
        <v>1493</v>
      </c>
      <c r="B42" s="12" t="s">
        <v>1496</v>
      </c>
      <c r="C42" s="13" t="s">
        <v>1497</v>
      </c>
    </row>
    <row r="43" spans="1:3" ht="16">
      <c r="A43" s="17" t="s">
        <v>1493</v>
      </c>
      <c r="B43" s="12" t="s">
        <v>1498</v>
      </c>
      <c r="C43" s="13" t="s">
        <v>1499</v>
      </c>
    </row>
    <row r="44" spans="1:3" ht="16">
      <c r="A44" s="18" t="s">
        <v>1493</v>
      </c>
      <c r="B44" s="14" t="s">
        <v>1500</v>
      </c>
      <c r="C44" s="15" t="s">
        <v>1501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workbookViewId="0">
      <selection activeCell="D39" sqref="D39"/>
    </sheetView>
  </sheetViews>
  <sheetFormatPr baseColWidth="10" defaultColWidth="8.83203125" defaultRowHeight="14"/>
  <cols>
    <col min="1" max="1" width="38" customWidth="1"/>
    <col min="2" max="2" width="78" customWidth="1"/>
    <col min="3" max="3" width="70" customWidth="1"/>
  </cols>
  <sheetData>
    <row r="1" spans="1:3" ht="37.25" customHeight="1">
      <c r="A1" s="20" t="s">
        <v>1502</v>
      </c>
      <c r="B1" s="20"/>
      <c r="C1" s="20"/>
    </row>
    <row r="3" spans="1:3" ht="45.25" customHeight="1">
      <c r="A3" s="1" t="s">
        <v>1503</v>
      </c>
      <c r="B3" s="2" t="s">
        <v>1504</v>
      </c>
      <c r="C3" s="3" t="s">
        <v>1505</v>
      </c>
    </row>
    <row r="4" spans="1:3" ht="30">
      <c r="A4" s="16" t="s">
        <v>1506</v>
      </c>
      <c r="B4" s="10" t="s">
        <v>1507</v>
      </c>
      <c r="C4" s="11" t="s">
        <v>1508</v>
      </c>
    </row>
    <row r="5" spans="1:3" ht="30">
      <c r="A5" s="17" t="s">
        <v>1509</v>
      </c>
      <c r="B5" s="12" t="s">
        <v>1510</v>
      </c>
      <c r="C5" s="13" t="s">
        <v>1511</v>
      </c>
    </row>
    <row r="6" spans="1:3" ht="32">
      <c r="A6" s="17" t="s">
        <v>1512</v>
      </c>
      <c r="B6" s="12" t="s">
        <v>1513</v>
      </c>
      <c r="C6" s="13" t="s">
        <v>1514</v>
      </c>
    </row>
    <row r="7" spans="1:3" ht="30">
      <c r="A7" s="17" t="s">
        <v>1515</v>
      </c>
      <c r="B7" s="12" t="s">
        <v>1516</v>
      </c>
      <c r="C7" s="13" t="s">
        <v>1517</v>
      </c>
    </row>
    <row r="8" spans="1:3" ht="30">
      <c r="A8" s="17" t="s">
        <v>1518</v>
      </c>
      <c r="B8" s="12" t="s">
        <v>1519</v>
      </c>
      <c r="C8" s="13" t="s">
        <v>1520</v>
      </c>
    </row>
    <row r="9" spans="1:3" ht="16">
      <c r="A9" s="17" t="s">
        <v>1521</v>
      </c>
      <c r="B9" s="12" t="s">
        <v>1522</v>
      </c>
      <c r="C9" s="13" t="s">
        <v>1523</v>
      </c>
    </row>
    <row r="10" spans="1:3" ht="30">
      <c r="A10" s="18" t="s">
        <v>1524</v>
      </c>
      <c r="B10" s="14" t="s">
        <v>1525</v>
      </c>
      <c r="C10" s="15" t="s">
        <v>1526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Form Blueprint</vt:lpstr>
      <vt:lpstr>Master Data Fields</vt:lpstr>
      <vt:lpstr>PM Tasks</vt:lpstr>
      <vt:lpstr>Photo Requirements</vt:lpstr>
      <vt:lpstr>Customer Exceptions</vt:lpstr>
      <vt:lpstr>Dropdown Lists</vt:lpstr>
      <vt:lpstr>Reference Standards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Stone</cp:lastModifiedBy>
  <dcterms:created xsi:type="dcterms:W3CDTF">2026-07-20T19:11:36Z</dcterms:created>
  <dcterms:modified xsi:type="dcterms:W3CDTF">2026-08-14T15:49:56Z</dcterms:modified>
</cp:coreProperties>
</file>